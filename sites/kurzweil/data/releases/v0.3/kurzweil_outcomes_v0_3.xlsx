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a5d31606bb4a0e" /></Relationships>
</file>

<file path=xl/workbook.xml><?xml version="1.0" encoding="utf-8"?>
<x:workbook xmlns:x="http://schemas.openxmlformats.org/spreadsheetml/2006/main">
  <x:sheets>
    <x:sheet xmlns:r="http://schemas.openxmlformats.org/officeDocument/2006/relationships" name="Summary" sheetId="1" r:id="R0edfefc1d7094e40"/>
    <x:sheet xmlns:r="http://schemas.openxmlformats.org/officeDocument/2006/relationships" name="Scorecard" sheetId="2" r:id="R249ee4f378f64ec2"/>
    <x:sheet xmlns:r="http://schemas.openxmlformats.org/officeDocument/2006/relationships" name="Judgments" sheetId="3" r:id="Rd8907a643bf648b0"/>
    <x:sheet xmlns:r="http://schemas.openxmlformats.org/officeDocument/2006/relationships" name="Interpretations" sheetId="4" r:id="R37a355048b134acc"/>
    <x:sheet xmlns:r="http://schemas.openxmlformats.org/officeDocument/2006/relationships" name="Legacy outcomes" sheetId="5" r:id="R9afa6a13b1d9440f"/>
    <x:sheet xmlns:r="http://schemas.openxmlformats.org/officeDocument/2006/relationships" name="Sources" sheetId="6" r:id="R0121c6e76c904651"/>
    <x:sheet xmlns:r="http://schemas.openxmlformats.org/officeDocument/2006/relationships" name="Changes" sheetId="7" r:id="R090e7780958245b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6">
    <x:font>
      <x:sz val="11"/>
      <x:name val="Carlito"/>
    </x:font>
    <x:font>
      <x:sz val="10"/>
      <x:color rgb="FF26332B"/>
      <x:name val="Carlito"/>
    </x:font>
    <x:font>
      <x:b/>
      <x:sz val="10"/>
      <x:color rgb="FFFFFFFF"/>
      <x:name val="Carlito"/>
    </x:font>
    <x:font>
      <x:sz val="11"/>
      <x:color rgb="FF26332B"/>
      <x:name val="Carlito"/>
    </x:font>
    <x:font>
      <x:b/>
      <x:sz val="22"/>
      <x:color rgb="FF304D3C"/>
      <x:name val="Carlito"/>
    </x:font>
    <x:font>
      <x:b/>
      <x:sz val="11"/>
      <x:color rgb="FFFFFFFF"/>
      <x:name val="Carlito"/>
    </x:font>
  </x:fonts>
  <x:fills count="4">
    <x:fill>
      <x:patternFill patternType="none"/>
    </x:fill>
    <x:fill>
      <x:patternFill patternType="gray125"/>
    </x:fill>
    <x:fill>
      <x:patternFill patternType="solid">
        <x:fgColor rgb="FF304D3C"/>
      </x:patternFill>
    </x:fill>
    <x:fill>
      <x:patternFill patternType="solid">
        <x:fgColor rgb="FFF8F7F1"/>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top"/>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top"/>
    </x:xf>
    <x:xf numFmtId="0" fontId="4" fillId="3" borderId="0" xfId="0" applyNumberFormat="1" applyFont="1" applyFill="1" applyBorder="1" applyAlignment="1">
      <x:alignment vertical="top"/>
    </x:xf>
    <x:xf numFmtId="0" fontId="4" fillId="3" borderId="1" xfId="0" applyNumberFormat="1" applyFont="1" applyFill="1" applyBorder="1" applyAlignment="1">
      <x:alignment vertical="top"/>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200" fontId="3" fillId="3" borderId="0" xfId="0" applyNumberFormat="1" applyFont="1" applyFill="1" applyBorder="1" applyAlignment="1">
      <x:alignment vertical="top"/>
    </x:xf>
    <x:xf numFmtId="200" fontId="3" fillId="3" borderId="1" xfId="0" applyNumberFormat="1" applyFont="1" applyFill="1" applyBorder="1" applyAlignment="1">
      <x:alignment vertical="top"/>
    </x:xf>
    <x:xf numFmtId="200" fontId="3" fillId="3" borderId="0" xfId="0" applyNumberFormat="1" applyFont="1" applyFill="1" applyBorder="1" applyAlignment="1">
      <x:alignment vertical="top" wrapText="1"/>
    </x:xf>
    <x:xf numFmtId="200" fontId="3" fillId="3" borderId="1"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x:xf>
    <x:xf numFmtId="0" fontId="1" fillId="3" borderId="1" xfId="0" applyNumberFormat="1" applyFont="1" applyFill="1" applyBorder="1" applyAlignment="1">
      <x:alignment vertical="top" wrapText="1"/>
    </x:xf>
    <x:xf numFmtId="201" fontId="3" fillId="3" borderId="0" xfId="0" applyNumberFormat="1" applyFont="1" applyFill="1" applyBorder="1" applyAlignment="1">
      <x:alignment vertical="top"/>
    </x:xf>
    <x:xf numFmtId="201" fontId="3" fillId="3" borderId="1" xfId="0" applyNumberFormat="1" applyFont="1" applyFill="1" applyBorder="1" applyAlignment="1">
      <x:alignment vertical="top"/>
    </x:xf>
    <x:xf numFmtId="201" fontId="3" fillId="3" borderId="0" xfId="0" applyNumberFormat="1" applyFont="1" applyFill="1" applyBorder="1" applyAlignment="1">
      <x:alignment vertical="top" wrapText="1"/>
    </x:xf>
    <x:xf numFmtId="201" fontId="3" fillId="3" borderId="1" xfId="0" applyNumberFormat="1" applyFont="1" applyFill="1" applyBorder="1" applyAlignment="1">
      <x:alignment vertical="top" wrapText="1"/>
    </x:xf>
    <x:xf numFmtId="0" fontId="3" fillId="2" borderId="0" xfId="0" applyNumberFormat="1" applyFont="1" applyFill="1" applyBorder="1" applyAlignment="1">
      <x:alignment vertical="top"/>
    </x:xf>
    <x:xf numFmtId="0" fontId="5" fillId="2" borderId="0" xfId="0" applyNumberFormat="1" applyFont="1" applyFill="1" applyBorder="1" applyAlignment="1">
      <x:alignment vertical="top"/>
    </x:xf>
  </x:cellXfs>
  <x:cellStyles count="1">
    <x:cellStyle name="Normal" xfId="0"/>
  </x:cellStyles>
  <x:dxfs count="15">
    <x:dxf>
      <x:fill>
        <x:patternFill patternType="solid">
          <x:bgColor rgb="FFE3F0E4"/>
        </x:patternFill>
      </x:fill>
    </x:dxf>
    <x:dxf>
      <x:fill>
        <x:patternFill patternType="solid">
          <x:bgColor rgb="FFE4EDF4"/>
        </x:patternFill>
      </x:fill>
    </x:dxf>
    <x:dxf>
      <x:fill>
        <x:patternFill patternType="solid">
          <x:bgColor rgb="FFF5EFD9"/>
        </x:patternFill>
      </x:fill>
    </x:dxf>
    <x:dxf>
      <x:fill>
        <x:patternFill patternType="solid">
          <x:bgColor rgb="FFF4E5E1"/>
        </x:patternFill>
      </x:fill>
    </x:dxf>
    <x:dxf>
      <x:fill>
        <x:patternFill patternType="solid">
          <x:bgColor rgb="FFECE7F5"/>
        </x:patternFill>
      </x:fill>
    </x:dxf>
    <x:dxf>
      <x:fill>
        <x:patternFill patternType="solid">
          <x:bgColor rgb="FFE3F0E4"/>
        </x:patternFill>
      </x:fill>
    </x:dxf>
    <x:dxf>
      <x:fill>
        <x:patternFill patternType="solid">
          <x:bgColor rgb="FFE4EDF4"/>
        </x:patternFill>
      </x:fill>
    </x:dxf>
    <x:dxf>
      <x:fill>
        <x:patternFill patternType="solid">
          <x:bgColor rgb="FFF5EFD9"/>
        </x:patternFill>
      </x:fill>
    </x:dxf>
    <x:dxf>
      <x:fill>
        <x:patternFill patternType="solid">
          <x:bgColor rgb="FFF4E5E1"/>
        </x:patternFill>
      </x:fill>
    </x:dxf>
    <x:dxf>
      <x:fill>
        <x:patternFill patternType="solid">
          <x:bgColor rgb="FFECE7F5"/>
        </x:patternFill>
      </x:fill>
    </x:dxf>
    <x:dxf>
      <x:fill>
        <x:patternFill patternType="solid">
          <x:bgColor rgb="FFE3F0E4"/>
        </x:patternFill>
      </x:fill>
    </x:dxf>
    <x:dxf>
      <x:fill>
        <x:patternFill patternType="solid">
          <x:bgColor rgb="FFE4EDF4"/>
        </x:patternFill>
      </x:fill>
    </x:dxf>
    <x:dxf>
      <x:fill>
        <x:patternFill patternType="solid">
          <x:bgColor rgb="FFF5EFD9"/>
        </x:patternFill>
      </x:fill>
    </x:dxf>
    <x:dxf>
      <x:fill>
        <x:patternFill patternType="solid">
          <x:bgColor rgb="FFF4E5E1"/>
        </x:patternFill>
      </x:fill>
    </x:dxf>
    <x:dxf>
      <x:fill>
        <x:patternFill patternType="solid">
          <x:bgColor rgb="FFECE7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2ff8a2facc447a3" /><Relationship Type="http://schemas.openxmlformats.org/officeDocument/2006/relationships/theme" Target="/xl/theme/theme1.xml" Id="Ra0f49207e0cf45fb" /><Relationship Type="http://schemas.openxmlformats.org/officeDocument/2006/relationships/sharedStrings" Target="/xl/sharedStrings.xml" Id="R7e8b454741c342ae" /><Relationship Type="http://schemas.openxmlformats.org/officeDocument/2006/relationships/worksheet" Target="/xl/worksheets/sheet1.xml" Id="R0edfefc1d7094e40" /><Relationship Type="http://schemas.openxmlformats.org/officeDocument/2006/relationships/worksheet" Target="/xl/worksheets/sheet2.xml" Id="R249ee4f378f64ec2" /><Relationship Type="http://schemas.openxmlformats.org/officeDocument/2006/relationships/worksheet" Target="/xl/worksheets/sheet3.xml" Id="Rd8907a643bf648b0" /><Relationship Type="http://schemas.openxmlformats.org/officeDocument/2006/relationships/worksheet" Target="/xl/worksheets/sheet4.xml" Id="R37a355048b134acc" /><Relationship Type="http://schemas.openxmlformats.org/officeDocument/2006/relationships/worksheet" Target="/xl/worksheets/sheet5.xml" Id="R9afa6a13b1d9440f" /><Relationship Type="http://schemas.openxmlformats.org/officeDocument/2006/relationships/worksheet" Target="/xl/worksheets/sheet6.xml" Id="R0121c6e76c904651" /><Relationship Type="http://schemas.openxmlformats.org/officeDocument/2006/relationships/worksheet" Target="/xl/worksheets/sheet7.xml" Id="R090e7780958245b3"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b75350340344c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All 84 curated records: reference verdict</a:t>
            </a:r>
          </a:p>
        </c:rich>
      </c:tx>
      <c:overlay val="0"/>
    </c:title>
    <c:plotArea>
      <c:barChart>
        <c:barDir val="col"/>
        <c:varyColors val="0"/>
        <c:ser>
          <c:idx val="0"/>
          <c:order val="0"/>
          <c:tx>
            <c:v>Count</c:v>
          </c:tx>
          <c:cat>
            <c:strRef>
              <c:f>'Summary'!$A$17:$A$21</c:f>
              <c:strCache>
                <c:ptCount val="0"/>
              </c:strCache>
            </c:strRef>
          </c:cat>
          <c:val>
            <c:numRef>
              <c:f>'Summary'!$B$17:$B$21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6</xdr:row>
      <xdr:rowOff>0</xdr:rowOff>
    </xdr:from>
    <xdr:to>
      <xdr:col>10</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b75350340344cc"/>
        </a:graphicData>
      </a:graphic>
    </xdr:graphicFrame>
    <xdr:clientData/>
  </xdr:twoCellAnchor>
</xdr:wsDr>
</file>

<file path=xl/tables/table1.xml><?xml version="1.0" encoding="utf-8"?>
<x:table xmlns:x="http://schemas.openxmlformats.org/spreadsheetml/2006/main" id="1" name="Forecasts" displayName="Forecasts" ref="A1:R85" headerRowCount="1" totalsRowCount="0" totalsRowShown="0">
  <x:tableColumns count="18">
    <x:tableColumn id="1" name="ID"/>
    <x:tableColumn id="2" name="Prediction"/>
    <x:tableColumn id="3" name="Primary category"/>
    <x:tableColumn id="4" name="Target year"/>
    <x:tableColumn id="5" name="At deadline"/>
    <x:tableColumn id="6" name="By review"/>
    <x:tableColumn id="7" name="Reference verdict"/>
    <x:tableColumn id="8" name="Strict verdict"/>
    <x:tableColumn id="9" name="Broader verdict"/>
    <x:tableColumn id="10" name="Due eligible"/>
    <x:tableColumn id="11" name="First exact year"/>
    <x:tableColumn id="12" name="Documented by"/>
    <x:tableColumn id="13" name="Timing / bound"/>
    <x:tableColumn id="14" name="Outcome confidence"/>
    <x:tableColumn id="15" name="Attribution state"/>
    <x:tableColumn id="16" name="New in v0.3"/>
    <x:tableColumn id="17" name="Prediction sources"/>
    <x:tableColumn id="18" name="Outcome sources"/>
  </x:tableColumns>
  <x:tableStyleInfo name="TableStyleMedium2" showFirstColumn="0" showLastColumn="0" showRowStripes="1" showColumnStripes="0"/>
</x:table>
</file>

<file path=xl/tables/table2.xml><?xml version="1.0" encoding="utf-8"?>
<x:table xmlns:x="http://schemas.openxmlformats.org/spreadsheetml/2006/main" id="2" name="JudgmentNotes" displayName="JudgmentNotes" ref="A1:J85" headerRowCount="1" totalsRowCount="0" totalsRowShown="0">
  <x:tableColumns count="10">
    <x:tableColumn id="1" name="ID"/>
    <x:tableColumn id="2" name="Prediction"/>
    <x:tableColumn id="3" name="Reference success criterion"/>
    <x:tableColumn id="4" name="Deadline judgment"/>
    <x:tableColumn id="5" name="Current judgment"/>
    <x:tableColumn id="6" name="Limitations"/>
    <x:tableColumn id="7" name="Population"/>
    <x:tableColumn id="8" name="Attribution confidence"/>
    <x:tableColumn id="9" name="Timing confidence"/>
    <x:tableColumn id="10" name="Target wording"/>
  </x:tableColumns>
  <x:tableStyleInfo name="TableStyleMedium2" showFirstColumn="0" showLastColumn="0" showRowStripes="1" showColumnStripes="0"/>
</x:table>
</file>

<file path=xl/tables/table3.xml><?xml version="1.0" encoding="utf-8"?>
<x:table xmlns:x="http://schemas.openxmlformats.org/spreadsheetml/2006/main" id="3" name="InterpretationsData" displayName="InterpretationsData" ref="A1:L253" headerRowCount="1" totalsRowCount="0" totalsRowShown="0">
  <x:tableColumns count="12">
    <x:tableColumn id="1" name="ID"/>
    <x:tableColumn id="2" name="Reading"/>
    <x:tableColumn id="3" name="Criterion"/>
    <x:tableColumn id="4" name="Deadline"/>
    <x:tableColumn id="5" name="At deadline"/>
    <x:tableColumn id="6" name="By review"/>
    <x:tableColumn id="7" name="Verdict"/>
    <x:tableColumn id="8" name="Due eligible"/>
    <x:tableColumn id="9" name="Reasoning"/>
    <x:tableColumn id="10" name="Conditions changed"/>
    <x:tableColumn id="11" name="Interpretation kind"/>
    <x:tableColumn id="12" name="Evidence URLs"/>
  </x:tableColumns>
  <x:tableStyleInfo name="TableStyleMedium2" showFirstColumn="0" showLastColumn="0" showRowStripes="1" showColumnStripes="0"/>
</x:table>
</file>

<file path=xl/tables/table4.xml><?xml version="1.0" encoding="utf-8"?>
<x:table xmlns:x="http://schemas.openxmlformats.org/spreadsheetml/2006/main" id="4" name="LegacyNotes" displayName="LegacyNotes" ref="A1:N89" headerRowCount="1" totalsRowCount="0" totalsRowShown="0">
  <x:tableColumns count="14">
    <x:tableColumn id="1" name="Legacy ID"/>
    <x:tableColumn id="2" name="Original prediction"/>
    <x:tableColumn id="3" name="Original target"/>
    <x:tableColumn id="4" name="Canonical IDs"/>
    <x:tableColumn id="5" name="Assessment basis"/>
    <x:tableColumn id="6" name="Conditional verdict"/>
    <x:tableColumn id="7" name="At deadline"/>
    <x:tableColumn id="8" name="By review"/>
    <x:tableColumn id="9" name="Assumed deadline"/>
    <x:tableColumn id="10" name="Explanation"/>
    <x:tableColumn id="11" name="Date note"/>
    <x:tableColumn id="12" name="Broader reading"/>
    <x:tableColumn id="13" name="Components"/>
    <x:tableColumn id="14" name="Evidence URLs"/>
  </x:tableColumns>
  <x:tableStyleInfo name="TableStyleMedium2" showFirstColumn="0" showLastColumn="0" showRowStripes="1" showColumnStripes="0"/>
</x:table>
</file>

<file path=xl/tables/table5.xml><?xml version="1.0" encoding="utf-8"?>
<x:table xmlns:x="http://schemas.openxmlformats.org/spreadsheetml/2006/main" id="5" name="SourcesData" displayName="SourcesData" ref="A1:F99" headerRowCount="1" totalsRowCount="0" totalsRowShown="0">
  <x:tableColumns count="6">
    <x:tableColumn id="1" name="ID"/>
    <x:tableColumn id="2" name="Source"/>
    <x:tableColumn id="3" name="URL"/>
    <x:tableColumn id="4" name="Publication date"/>
    <x:tableColumn id="5" name="Type"/>
    <x:tableColumn id="6" name="Evidence scope / caveat"/>
  </x:tableColumns>
  <x:tableStyleInfo name="TableStyleMedium2" showFirstColumn="0" showLastColumn="0" showRowStripes="1" showColumnStripes="0"/>
</x:table>
</file>

<file path=xl/tables/table6.xml><?xml version="1.0" encoding="utf-8"?>
<x:table xmlns:x="http://schemas.openxmlformats.org/spreadsheetml/2006/main" id="6" name="ChangesData" displayName="ChangesData" ref="A1:G85" headerRowCount="1" totalsRowCount="0" totalsRowShown="0">
  <x:tableColumns count="7">
    <x:tableColumn id="1" name="ID"/>
    <x:tableColumn id="2" name="Prediction"/>
    <x:tableColumn id="3" name="Previous verdict"/>
    <x:tableColumn id="4" name="New verdict"/>
    <x:tableColumn id="5" name="At deadline"/>
    <x:tableColumn id="6" name="By review"/>
    <x:tableColumn id="7" name="Change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a8f3b5972cc4773" /></Relationships>
</file>

<file path=xl/worksheets/_rels/sheet2.xml.rels>&#65279;<?xml version="1.0" encoding="utf-8"?><Relationships xmlns="http://schemas.openxmlformats.org/package/2006/relationships"><Relationship Type="http://schemas.openxmlformats.org/officeDocument/2006/relationships/table" Target="/xl/tables/table1.xml" Id="R8efb3aa2730a4fcf" /></Relationships>
</file>

<file path=xl/worksheets/_rels/sheet3.xml.rels>&#65279;<?xml version="1.0" encoding="utf-8"?><Relationships xmlns="http://schemas.openxmlformats.org/package/2006/relationships"><Relationship Type="http://schemas.openxmlformats.org/officeDocument/2006/relationships/table" Target="/xl/tables/table2.xml" Id="R68d4448c4b634edf" /></Relationships>
</file>

<file path=xl/worksheets/_rels/sheet4.xml.rels>&#65279;<?xml version="1.0" encoding="utf-8"?><Relationships xmlns="http://schemas.openxmlformats.org/package/2006/relationships"><Relationship Type="http://schemas.openxmlformats.org/officeDocument/2006/relationships/table" Target="/xl/tables/table3.xml" Id="Rd4742e6e90e14710" /></Relationships>
</file>

<file path=xl/worksheets/_rels/sheet5.xml.rels>&#65279;<?xml version="1.0" encoding="utf-8"?><Relationships xmlns="http://schemas.openxmlformats.org/package/2006/relationships"><Relationship Type="http://schemas.openxmlformats.org/officeDocument/2006/relationships/table" Target="/xl/tables/table4.xml" Id="Rbdeba082c6984ec7" /></Relationships>
</file>

<file path=xl/worksheets/_rels/sheet6.xml.rels>&#65279;<?xml version="1.0" encoding="utf-8"?><Relationships xmlns="http://schemas.openxmlformats.org/package/2006/relationships"><Relationship Type="http://schemas.openxmlformats.org/officeDocument/2006/relationships/table" Target="/xl/tables/table5.xml" Id="R050db928d97b4f5e" /></Relationships>
</file>

<file path=xl/worksheets/_rels/sheet7.xml.rels>&#65279;<?xml version="1.0" encoding="utf-8"?><Relationships xmlns="http://schemas.openxmlformats.org/package/2006/relationships"><Relationship Type="http://schemas.openxmlformats.org/officeDocument/2006/relationships/table" Target="/xl/tables/table6.xml" Id="Rf5ca2778a7c0411b" /></Relationships>
</file>

<file path=xl/worksheets/sheet1.xml><?xml version="1.0" encoding="utf-8"?>
<x:worksheet xmlns:x="http://schemas.openxmlformats.org/spreadsheetml/2006/main">
  <x:sheetViews>
    <x:sheetView workbookViewId="0">
      <x:pane ySplit="7" topLeftCell="A8" activePane="bottomLeft" state="frozen"/>
    </x:sheetView>
  </x:sheetViews>
  <x:sheetFormatPr defaultRowHeight="15"/>
  <x:cols>
    <x:col min="1" max="1" width="38" hidden="0" customWidth="1"/>
    <x:col min="2" max="2" width="14" hidden="0" customWidth="1"/>
    <x:col min="3" max="3" width="44" hidden="0" customWidth="1"/>
    <x:col min="4" max="4" width="14" hidden="0" customWidth="1"/>
    <x:col min="5" max="5" width="16" hidden="0" customWidth="1"/>
    <x:col min="6" max="6" width="18" hidden="0" customWidth="1"/>
    <x:col min="7" max="7" width="14" hidden="0" customWidth="1"/>
    <x:col min="8" max="8" width="12" hidden="0" customWidth="1"/>
    <x:col min="9" max="9" width="12" hidden="0" customWidth="1"/>
    <x:col min="10" max="10" width="12" hidden="0" customWidth="1"/>
  </x:cols>
  <x:sheetData>
    <x:row r="1" ht="30" customHeight="1">
      <x:c r="A1" s="18" t="str">
        <x:v>KURZWEIL  |  Outcome assessment v0.3</x:v>
      </x:c>
      <x:c r="B1" s="14"/>
      <x:c r="C1" s="14"/>
      <x:c r="D1" s="14"/>
      <x:c r="E1" s="14"/>
      <x:c r="F1" s="14"/>
      <x:c r="G1" s="14"/>
      <x:c r="H1" s="14"/>
      <x:c r="I1" s="14"/>
      <x:c r="J1" s="14"/>
    </x:row>
    <x:row r="2">
      <x:c r="A2" s="14"/>
      <x:c r="B2" s="14"/>
      <x:c r="C2" s="14"/>
      <x:c r="D2" s="14"/>
      <x:c r="E2" s="14"/>
      <x:c r="F2" s="14"/>
      <x:c r="G2" s="14"/>
      <x:c r="H2" s="14"/>
      <x:c r="I2" s="14"/>
      <x:c r="J2" s="14"/>
    </x:row>
    <x:row r="3">
      <x:c r="A3" s="14" t="str">
        <x:v>As of 15 October 2026 • 84 source-matched forecast versions • 34 added in this release</x:v>
      </x:c>
      <x:c r="B3" s="14"/>
      <x:c r="C3" s="14"/>
      <x:c r="D3" s="14"/>
      <x:c r="E3" s="14"/>
      <x:c r="F3" s="14"/>
      <x:c r="G3" s="14"/>
      <x:c r="H3" s="14"/>
      <x:c r="I3" s="14"/>
      <x:c r="J3" s="14"/>
    </x:row>
    <x:row r="4" ht="24" customHeight="1">
      <x:c r="A4" s="20" t="str">
        <x:v>Selected research collection, not a lifetime accuracy estimate. Outcomes, source attribution and event-date certainty are separate. Reference judgments use explicit reasonable scopes; broader judgments sometimes relax the original conditions.</x:v>
      </x:c>
      <x:c r="B4" s="20"/>
      <x:c r="C4" s="20"/>
      <x:c r="D4" s="20"/>
      <x:c r="E4" s="20"/>
      <x:c r="F4" s="20"/>
      <x:c r="G4" s="20"/>
      <x:c r="H4" s="20"/>
      <x:c r="I4" s="20"/>
      <x:c r="J4" s="20"/>
    </x:row>
    <x:row r="5" ht="24" customHeight="1">
      <x:c r="A5" s="20"/>
      <x:c r="B5" s="20"/>
      <x:c r="C5" s="20"/>
      <x:c r="D5" s="20"/>
      <x:c r="E5" s="20"/>
      <x:c r="F5" s="20"/>
      <x:c r="G5" s="20"/>
      <x:c r="H5" s="20"/>
      <x:c r="I5" s="20"/>
      <x:c r="J5" s="20"/>
    </x:row>
    <x:row r="6">
      <x:c r="A6" s="14"/>
      <x:c r="B6" s="14"/>
      <x:c r="C6" s="14"/>
      <x:c r="D6" s="14"/>
      <x:c r="E6" s="14"/>
      <x:c r="F6" s="14"/>
      <x:c r="G6" s="14"/>
      <x:c r="H6" s="14"/>
      <x:c r="I6" s="14"/>
      <x:c r="J6" s="14"/>
    </x:row>
    <x:row r="7">
      <x:c r="A7" s="27" t="str">
        <x:v>REFERENCE VIEW</x:v>
      </x:c>
      <x:c r="B7" s="27" t="str">
        <x:v>COUNT</x:v>
      </x:c>
      <x:c r="C7" s="27" t="str">
        <x:v>INTERPRETATION</x:v>
      </x:c>
      <x:c r="D7" s="14"/>
      <x:c r="E7" s="14"/>
      <x:c r="F7" s="14"/>
      <x:c r="G7" s="14"/>
      <x:c r="H7" s="14"/>
      <x:c r="I7" s="14"/>
      <x:c r="J7" s="14"/>
    </x:row>
    <x:row r="8" ht="42" customHeight="1">
      <x:c r="A8" s="20" t="str">
        <x:v>All curated records</x:v>
      </x:c>
      <x:c r="B8" s="20" t="n">
        <x:f>COUNTA(Scorecard!$A$2:$A$85)</x:f>
        <x:v>84</x:v>
      </x:c>
      <x:c r="C8" s="20" t="str">
        <x:v>One record per distinct forecast version</x:v>
      </x:c>
      <x:c r="D8" s="14"/>
      <x:c r="E8" s="14"/>
      <x:c r="F8" s="14"/>
      <x:c r="G8" s="14"/>
      <x:c r="H8" s="14"/>
      <x:c r="I8" s="14"/>
      <x:c r="J8" s="14"/>
    </x:row>
    <x:row r="9" ht="42" customHeight="1">
      <x:c r="A9" s="20" t="str">
        <x:v>Past-due reference cohort</x:v>
      </x:c>
      <x:c r="B9" s="20" t="n">
        <x:f>SUM(Scorecard!$J$2:$J$85)</x:f>
        <x:v>68</x:v>
      </x:c>
      <x:c r="C9" s="20" t="str">
        <x:v>Excludes 14 future and 2 undated records</x:v>
      </x:c>
      <x:c r="D9" s="14"/>
      <x:c r="E9" s="14"/>
      <x:c r="F9" s="14"/>
      <x:c r="G9" s="14"/>
      <x:c r="H9" s="14"/>
      <x:c r="I9" s="14"/>
      <x:c r="J9" s="14"/>
    </x:row>
    <x:row r="10" ht="42" customHeight="1">
      <x:c r="A10" s="20" t="str">
        <x:v>Fully achieved on time</x:v>
      </x:c>
      <x:c r="B10" s="20" t="n">
        <x:f>COUNTIFS(Scorecard!$J$2:$J$85,1,Scorecard!$E$2:$E$85,"FULFILLED")</x:f>
        <x:v>25</x:v>
      </x:c>
      <x:c r="C10" s="20" t="str">
        <x:v>Full reference criterion at original deadline</x:v>
      </x:c>
      <x:c r="D10" s="14"/>
      <x:c r="E10" s="14"/>
      <x:c r="F10" s="14"/>
      <x:c r="G10" s="14"/>
      <x:c r="H10" s="14"/>
      <x:c r="I10" s="14"/>
      <x:c r="J10" s="14"/>
    </x:row>
    <x:row r="11" ht="42" customHeight="1">
      <x:c r="A11" s="20" t="str">
        <x:v>Fully achieved by review</x:v>
      </x:c>
      <x:c r="B11" s="20" t="n">
        <x:f>COUNTIFS(Scorecard!$J$2:$J$85,1,Scorecard!$F$2:$F$85,"FULFILLED")</x:f>
        <x:v>36</x:v>
      </x:c>
      <x:c r="C11" s="20" t="str">
        <x:v>Includes full on-time and later realizations</x:v>
      </x:c>
      <x:c r="D11" s="14"/>
      <x:c r="E11" s="14"/>
      <x:c r="F11" s="14"/>
      <x:c r="G11" s="14"/>
      <x:c r="H11" s="14"/>
      <x:c r="I11" s="14"/>
      <x:c r="J11" s="14"/>
    </x:row>
    <x:row r="12" ht="42" customHeight="1">
      <x:c r="A12" s="20" t="str">
        <x:v>On-time rate in this subset</x:v>
      </x:c>
      <x:c r="B12" s="24" t="n">
        <x:f>IFERROR(B10/B9,0)</x:f>
        <x:v>0.36764705882352944</x:v>
      </x:c>
      <x:c r="C12" s="20" t="str">
        <x:v>Never label as lifetime accuracy</x:v>
      </x:c>
      <x:c r="D12" s="14"/>
      <x:c r="E12" s="14"/>
      <x:c r="F12" s="14"/>
      <x:c r="G12" s="14"/>
      <x:c r="H12" s="14"/>
      <x:c r="I12" s="14"/>
      <x:c r="J12" s="14"/>
    </x:row>
    <x:row r="13" ht="42" customHeight="1">
      <x:c r="A13" s="20" t="str">
        <x:v>Full realization in this subset</x:v>
      </x:c>
      <x:c r="B13" s="24" t="n">
        <x:f>IFERROR(B11/B9,0)</x:f>
        <x:v>0.5294117647058824</x:v>
      </x:c>
      <x:c r="C13" s="20" t="str">
        <x:v>Same mature cohort as on-time rate</x:v>
      </x:c>
      <x:c r="D13" s="14"/>
      <x:c r="E13" s="14"/>
      <x:c r="F13" s="14"/>
      <x:c r="G13" s="14"/>
      <x:c r="H13" s="14"/>
      <x:c r="I13" s="14"/>
      <x:c r="J13" s="14"/>
    </x:row>
    <x:row r="14">
      <x:c r="A14" s="14"/>
      <x:c r="B14" s="14"/>
      <x:c r="C14" s="14"/>
      <x:c r="D14" s="14"/>
      <x:c r="E14" s="14"/>
      <x:c r="F14" s="14"/>
      <x:c r="G14" s="14"/>
      <x:c r="H14" s="14"/>
      <x:c r="I14" s="14"/>
      <x:c r="J14" s="14"/>
    </x:row>
    <x:row r="15">
      <x:c r="A15" s="14"/>
      <x:c r="B15" s="14"/>
      <x:c r="C15" s="14"/>
      <x:c r="D15" s="14"/>
      <x:c r="E15" s="14"/>
      <x:c r="F15" s="14"/>
      <x:c r="G15" s="14"/>
      <x:c r="H15" s="14"/>
      <x:c r="I15" s="14"/>
      <x:c r="J15" s="14"/>
    </x:row>
    <x:row r="16">
      <x:c r="A16" s="14" t="str">
        <x:v>All-record verdicts</x:v>
      </x:c>
      <x:c r="B16" s="14" t="str">
        <x:v>Count</x:v>
      </x:c>
      <x:c r="C16" s="14"/>
      <x:c r="D16" s="14"/>
      <x:c r="E16" s="14"/>
      <x:c r="F16" s="14"/>
      <x:c r="G16" s="14"/>
      <x:c r="H16" s="14"/>
      <x:c r="I16" s="14"/>
      <x:c r="J16" s="14"/>
    </x:row>
    <x:row r="17">
      <x:c r="A17" s="14" t="str">
        <x:v>CORRECT</x:v>
      </x:c>
      <x:c r="B17" s="14" t="n">
        <x:f>COUNTIF(Scorecard!$G$2:$G$85,A17)</x:f>
        <x:v>26</x:v>
      </x:c>
      <x:c r="C17" s="14"/>
      <x:c r="D17" s="14"/>
      <x:c r="E17" s="14"/>
      <x:c r="F17" s="14"/>
      <x:c r="G17" s="14"/>
      <x:c r="H17" s="14"/>
      <x:c r="I17" s="14"/>
      <x:c r="J17" s="14"/>
    </x:row>
    <x:row r="18">
      <x:c r="A18" s="14" t="str">
        <x:v>LATE</x:v>
      </x:c>
      <x:c r="B18" s="14" t="n">
        <x:f>COUNTIF(Scorecard!$G$2:$G$85,A18)</x:f>
        <x:v>11</x:v>
      </x:c>
      <x:c r="C18" s="14"/>
      <x:c r="D18" s="14"/>
      <x:c r="E18" s="14"/>
      <x:c r="F18" s="14"/>
      <x:c r="G18" s="14"/>
      <x:c r="H18" s="14"/>
      <x:c r="I18" s="14"/>
      <x:c r="J18" s="14"/>
    </x:row>
    <x:row r="19">
      <x:c r="A19" s="14" t="str">
        <x:v>PARTIAL</x:v>
      </x:c>
      <x:c r="B19" s="14" t="n">
        <x:f>COUNTIF(Scorecard!$G$2:$G$85,A19)</x:f>
        <x:v>17</x:v>
      </x:c>
      <x:c r="C19" s="14"/>
      <x:c r="D19" s="14"/>
      <x:c r="E19" s="14"/>
      <x:c r="F19" s="14"/>
      <x:c r="G19" s="14"/>
      <x:c r="H19" s="14"/>
      <x:c r="I19" s="14"/>
      <x:c r="J19" s="14"/>
    </x:row>
    <x:row r="20">
      <x:c r="A20" s="14" t="str">
        <x:v>WRONG</x:v>
      </x:c>
      <x:c r="B20" s="14" t="n">
        <x:f>COUNTIF(Scorecard!$G$2:$G$85,A20)</x:f>
        <x:v>16</x:v>
      </x:c>
      <x:c r="C20" s="14"/>
      <x:c r="D20" s="14"/>
      <x:c r="E20" s="14"/>
      <x:c r="F20" s="14"/>
      <x:c r="G20" s="14"/>
      <x:c r="H20" s="14"/>
      <x:c r="I20" s="14"/>
      <x:c r="J20" s="14"/>
    </x:row>
    <x:row r="21">
      <x:c r="A21" s="14" t="str">
        <x:v>PENDING</x:v>
      </x:c>
      <x:c r="B21" s="14" t="n">
        <x:f>COUNTIF(Scorecard!$G$2:$G$85,A21)</x:f>
        <x:v>14</x:v>
      </x:c>
      <x:c r="C21" s="14"/>
      <x:c r="D21" s="14"/>
      <x:c r="E21" s="14"/>
      <x:c r="F21" s="14"/>
      <x:c r="G21" s="14"/>
      <x:c r="H21" s="14"/>
      <x:c r="I21" s="14"/>
      <x:c r="J21" s="14"/>
    </x:row>
    <x:row r="22">
      <x:c r="A22" s="14"/>
      <x:c r="B22" s="14"/>
      <x:c r="C22" s="14"/>
      <x:c r="D22" s="14"/>
      <x:c r="E22" s="14"/>
      <x:c r="F22" s="14"/>
      <x:c r="G22" s="14"/>
      <x:c r="H22" s="14"/>
      <x:c r="I22" s="14"/>
      <x:c r="J22" s="14"/>
    </x:row>
    <x:row r="23" ht="27" customHeight="1">
      <x:c r="A23" s="31" t="str">
        <x:v>The strict/alternative view has 67 mature records: K036 stays pending when its mid-2020s window extends through 2026. JSON includes an equal 67-record cohort for comparisons. The two undated assessments are shown, without timing credit. Conditional legacy results are not additional scored records.</x:v>
      </x:c>
      <x:c r="B23" s="31"/>
      <x:c r="C23" s="31"/>
      <x:c r="D23" s="31"/>
      <x:c r="E23" s="31"/>
      <x:c r="F23" s="31"/>
      <x:c r="G23" s="31"/>
      <x:c r="H23" s="31"/>
      <x:c r="I23" s="31"/>
      <x:c r="J23" s="31"/>
    </x:row>
    <x:row r="24" ht="27" customHeight="1">
      <x:c r="A24" s="31"/>
      <x:c r="B24" s="31"/>
      <x:c r="C24" s="31"/>
      <x:c r="D24" s="31"/>
      <x:c r="E24" s="31"/>
      <x:c r="F24" s="31"/>
      <x:c r="G24" s="31"/>
      <x:c r="H24" s="31"/>
      <x:c r="I24" s="31"/>
      <x:c r="J24" s="31"/>
    </x:row>
    <x:row r="25">
      <x:c r="A25" s="14"/>
      <x:c r="B25" s="14"/>
      <x:c r="C25" s="14"/>
      <x:c r="D25" s="14"/>
      <x:c r="E25" s="14"/>
      <x:c r="F25" s="14"/>
      <x:c r="G25" s="14"/>
      <x:c r="H25" s="14"/>
      <x:c r="I25" s="14"/>
      <x:c r="J25" s="14"/>
    </x:row>
    <x:row r="26">
      <x:c r="A26" s="14"/>
      <x:c r="B26" s="14"/>
      <x:c r="C26" s="14"/>
      <x:c r="D26" s="14"/>
      <x:c r="E26" s="14"/>
      <x:c r="F26" s="14"/>
      <x:c r="G26" s="14"/>
      <x:c r="H26" s="14"/>
      <x:c r="I26" s="14"/>
      <x:c r="J26" s="14"/>
    </x:row>
    <x:row r="27" ht="32" customHeight="1">
      <x:c r="A27" s="27" t="str">
        <x:v>CATEGORY</x:v>
      </x:c>
      <x:c r="B27" s="27" t="str">
        <x:v>DUE</x:v>
      </x:c>
      <x:c r="C27" s="27" t="str">
        <x:v>ON TIME</x:v>
      </x:c>
      <x:c r="D27" s="27" t="str">
        <x:v>REALIZED</x:v>
      </x:c>
      <x:c r="E27" s="27" t="str">
        <x:v>ON-TIME %</x:v>
      </x:c>
      <x:c r="F27" s="27" t="str">
        <x:v>REALIZATION %</x:v>
      </x:c>
      <x:c r="G27" s="27" t="str">
        <x:v>N ALL</x:v>
      </x:c>
      <x:c r="H27" s="14"/>
      <x:c r="I27" s="14"/>
      <x:c r="J27" s="14"/>
    </x:row>
    <x:row r="28" ht="35" customHeight="1">
      <x:c r="A28" s="20" t="str">
        <x:v>AI &amp; software</x:v>
      </x:c>
      <x:c r="B28" s="20" t="n">
        <x:f>COUNTIFS(Scorecard!$C$2:$C$85,A28,Scorecard!$J$2:$J$85,1)</x:f>
        <x:v>9</x:v>
      </x:c>
      <x:c r="C28" s="20" t="n">
        <x:f>COUNTIFS(Scorecard!$C$2:$C$85,A28,Scorecard!$J$2:$J$85,1,Scorecard!$E$2:$E$85,"FULFILLED")</x:f>
        <x:v>3</x:v>
      </x:c>
      <x:c r="D28" s="20" t="n">
        <x:f>COUNTIFS(Scorecard!$C$2:$C$85,A28,Scorecard!$J$2:$J$85,1,Scorecard!$F$2:$F$85,"FULFILLED")</x:f>
        <x:v>5</x:v>
      </x:c>
      <x:c r="E28" s="36" t="n">
        <x:f>IF(B28=0,"—",C28/B28)</x:f>
        <x:v>0.3333333333333333</x:v>
      </x:c>
      <x:c r="F28" s="36" t="n">
        <x:f>IF(B28=0,"—",D28/B28)</x:f>
        <x:v>0.5555555555555556</x:v>
      </x:c>
      <x:c r="G28" s="20" t="n">
        <x:f>COUNTIF(Scorecard!$C$2:$C$85,A28)</x:f>
        <x:v>12</x:v>
      </x:c>
      <x:c r="H28" s="14"/>
      <x:c r="I28" s="14"/>
      <x:c r="J28" s="14"/>
    </x:row>
    <x:row r="29" ht="35" customHeight="1">
      <x:c r="A29" s="20" t="str">
        <x:v>Biology &amp; medicine</x:v>
      </x:c>
      <x:c r="B29" s="20" t="n">
        <x:f>COUNTIFS(Scorecard!$C$2:$C$85,A29,Scorecard!$J$2:$J$85,1)</x:f>
        <x:v>5</x:v>
      </x:c>
      <x:c r="C29" s="20" t="n">
        <x:f>COUNTIFS(Scorecard!$C$2:$C$85,A29,Scorecard!$J$2:$J$85,1,Scorecard!$E$2:$E$85,"FULFILLED")</x:f>
        <x:v>3</x:v>
      </x:c>
      <x:c r="D29" s="20" t="n">
        <x:f>COUNTIFS(Scorecard!$C$2:$C$85,A29,Scorecard!$J$2:$J$85,1,Scorecard!$F$2:$F$85,"FULFILLED")</x:f>
        <x:v>4</x:v>
      </x:c>
      <x:c r="E29" s="36" t="n">
        <x:f>IF(B29=0,"—",C29/B29)</x:f>
        <x:v>0.6</x:v>
      </x:c>
      <x:c r="F29" s="36" t="n">
        <x:f>IF(B29=0,"—",D29/B29)</x:f>
        <x:v>0.8</x:v>
      </x:c>
      <x:c r="G29" s="20" t="n">
        <x:f>COUNTIF(Scorecard!$C$2:$C$85,A29)</x:f>
        <x:v>6</x:v>
      </x:c>
      <x:c r="H29" s="14"/>
      <x:c r="I29" s="14"/>
      <x:c r="J29" s="14"/>
    </x:row>
    <x:row r="30" ht="35" customHeight="1">
      <x:c r="A30" s="20" t="str">
        <x:v>Computing hardware</x:v>
      </x:c>
      <x:c r="B30" s="20" t="n">
        <x:f>COUNTIFS(Scorecard!$C$2:$C$85,A30,Scorecard!$J$2:$J$85,1)</x:f>
        <x:v>16</x:v>
      </x:c>
      <x:c r="C30" s="20" t="n">
        <x:f>COUNTIFS(Scorecard!$C$2:$C$85,A30,Scorecard!$J$2:$J$85,1,Scorecard!$E$2:$E$85,"FULFILLED")</x:f>
        <x:v>5</x:v>
      </x:c>
      <x:c r="D30" s="20" t="n">
        <x:f>COUNTIFS(Scorecard!$C$2:$C$85,A30,Scorecard!$J$2:$J$85,1,Scorecard!$F$2:$F$85,"FULFILLED")</x:f>
        <x:v>10</x:v>
      </x:c>
      <x:c r="E30" s="36" t="n">
        <x:f>IF(B30=0,"—",C30/B30)</x:f>
        <x:v>0.3125</x:v>
      </x:c>
      <x:c r="F30" s="36" t="n">
        <x:f>IF(B30=0,"—",D30/B30)</x:f>
        <x:v>0.625</x:v>
      </x:c>
      <x:c r="G30" s="20" t="n">
        <x:f>COUNTIF(Scorecard!$C$2:$C$85,A30)</x:f>
        <x:v>17</x:v>
      </x:c>
      <x:c r="H30" s="14"/>
      <x:c r="I30" s="14"/>
      <x:c r="J30" s="14"/>
    </x:row>
    <x:row r="31" ht="35" customHeight="1">
      <x:c r="A31" s="20" t="str">
        <x:v>Economy &amp; society</x:v>
      </x:c>
      <x:c r="B31" s="20" t="n">
        <x:f>COUNTIFS(Scorecard!$C$2:$C$85,A31,Scorecard!$J$2:$J$85,1)</x:f>
        <x:v>5</x:v>
      </x:c>
      <x:c r="C31" s="20" t="n">
        <x:f>COUNTIFS(Scorecard!$C$2:$C$85,A31,Scorecard!$J$2:$J$85,1,Scorecard!$E$2:$E$85,"FULFILLED")</x:f>
        <x:v>2</x:v>
      </x:c>
      <x:c r="D31" s="20" t="n">
        <x:f>COUNTIFS(Scorecard!$C$2:$C$85,A31,Scorecard!$J$2:$J$85,1,Scorecard!$F$2:$F$85,"FULFILLED")</x:f>
        <x:v>2</x:v>
      </x:c>
      <x:c r="E31" s="36" t="n">
        <x:f>IF(B31=0,"—",C31/B31)</x:f>
        <x:v>0.4</x:v>
      </x:c>
      <x:c r="F31" s="36" t="n">
        <x:f>IF(B31=0,"—",D31/B31)</x:f>
        <x:v>0.4</x:v>
      </x:c>
      <x:c r="G31" s="20" t="n">
        <x:f>COUNTIF(Scorecard!$C$2:$C$85,A31)</x:f>
        <x:v>8</x:v>
      </x:c>
      <x:c r="H31" s="14"/>
      <x:c r="I31" s="14"/>
      <x:c r="J31" s="14"/>
    </x:row>
    <x:row r="32" ht="35" customHeight="1">
      <x:c r="A32" s="20" t="str">
        <x:v>Energy &amp; environment</x:v>
      </x:c>
      <x:c r="B32" s="20" t="n">
        <x:f>COUNTIFS(Scorecard!$C$2:$C$85,A32,Scorecard!$J$2:$J$85,1)</x:f>
        <x:v>0</x:v>
      </x:c>
      <x:c r="C32" s="20" t="n">
        <x:f>COUNTIFS(Scorecard!$C$2:$C$85,A32,Scorecard!$J$2:$J$85,1,Scorecard!$E$2:$E$85,"FULFILLED")</x:f>
        <x:v>0</x:v>
      </x:c>
      <x:c r="D32" s="20" t="n">
        <x:f>COUNTIFS(Scorecard!$C$2:$C$85,A32,Scorecard!$J$2:$J$85,1,Scorecard!$F$2:$F$85,"FULFILLED")</x:f>
        <x:v>0</x:v>
      </x:c>
      <x:c r="E32" s="36" t="str">
        <x:f>IF(B32=0,"—",C32/B32)</x:f>
        <x:v>—</x:v>
      </x:c>
      <x:c r="F32" s="36" t="str">
        <x:f>IF(B32=0,"—",D32/B32)</x:f>
        <x:v>—</x:v>
      </x:c>
      <x:c r="G32" s="20" t="n">
        <x:f>COUNTIF(Scorecard!$C$2:$C$85,A32)</x:f>
        <x:v>2</x:v>
      </x:c>
      <x:c r="H32" s="14"/>
      <x:c r="I32" s="14"/>
      <x:c r="J32" s="14"/>
    </x:row>
    <x:row r="33" ht="35" customHeight="1">
      <x:c r="A33" s="20" t="str">
        <x:v>Interfaces &amp; virtual worlds</x:v>
      </x:c>
      <x:c r="B33" s="20" t="n">
        <x:f>COUNTIFS(Scorecard!$C$2:$C$85,A33,Scorecard!$J$2:$J$85,1)</x:f>
        <x:v>11</x:v>
      </x:c>
      <x:c r="C33" s="20" t="n">
        <x:f>COUNTIFS(Scorecard!$C$2:$C$85,A33,Scorecard!$J$2:$J$85,1,Scorecard!$E$2:$E$85,"FULFILLED")</x:f>
        <x:v>4</x:v>
      </x:c>
      <x:c r="D33" s="20" t="n">
        <x:f>COUNTIFS(Scorecard!$C$2:$C$85,A33,Scorecard!$J$2:$J$85,1,Scorecard!$F$2:$F$85,"FULFILLED")</x:f>
        <x:v>6</x:v>
      </x:c>
      <x:c r="E33" s="36" t="n">
        <x:f>IF(B33=0,"—",C33/B33)</x:f>
        <x:v>0.36363636363636365</x:v>
      </x:c>
      <x:c r="F33" s="36" t="n">
        <x:f>IF(B33=0,"—",D33/B33)</x:f>
        <x:v>0.5454545454545454</x:v>
      </x:c>
      <x:c r="G33" s="20" t="n">
        <x:f>COUNTIF(Scorecard!$C$2:$C$85,A33)</x:f>
        <x:v>11</x:v>
      </x:c>
      <x:c r="H33" s="14"/>
      <x:c r="I33" s="14"/>
      <x:c r="J33" s="14"/>
    </x:row>
    <x:row r="34" ht="35" customHeight="1">
      <x:c r="A34" s="20" t="str">
        <x:v>Longevity</x:v>
      </x:c>
      <x:c r="B34" s="20" t="n">
        <x:f>COUNTIFS(Scorecard!$C$2:$C$85,A34,Scorecard!$J$2:$J$85,1)</x:f>
        <x:v>1</x:v>
      </x:c>
      <x:c r="C34" s="20" t="n">
        <x:f>COUNTIFS(Scorecard!$C$2:$C$85,A34,Scorecard!$J$2:$J$85,1,Scorecard!$E$2:$E$85,"FULFILLED")</x:f>
        <x:v>0</x:v>
      </x:c>
      <x:c r="D34" s="20" t="n">
        <x:f>COUNTIFS(Scorecard!$C$2:$C$85,A34,Scorecard!$J$2:$J$85,1,Scorecard!$F$2:$F$85,"FULFILLED")</x:f>
        <x:v>0</x:v>
      </x:c>
      <x:c r="E34" s="36" t="n">
        <x:f>IF(B34=0,"—",C34/B34)</x:f>
        <x:v>0</x:v>
      </x:c>
      <x:c r="F34" s="36" t="n">
        <x:f>IF(B34=0,"—",D34/B34)</x:f>
        <x:v>0</x:v>
      </x:c>
      <x:c r="G34" s="20" t="n">
        <x:f>COUNTIF(Scorecard!$C$2:$C$85,A34)</x:f>
        <x:v>3</x:v>
      </x:c>
      <x:c r="H34" s="14"/>
      <x:c r="I34" s="14"/>
      <x:c r="J34" s="14"/>
    </x:row>
    <x:row r="35" ht="35" customHeight="1">
      <x:c r="A35" s="20" t="str">
        <x:v>Media, education &amp; culture</x:v>
      </x:c>
      <x:c r="B35" s="20" t="n">
        <x:f>COUNTIFS(Scorecard!$C$2:$C$85,A35,Scorecard!$J$2:$J$85,1)</x:f>
        <x:v>8</x:v>
      </x:c>
      <x:c r="C35" s="20" t="n">
        <x:f>COUNTIFS(Scorecard!$C$2:$C$85,A35,Scorecard!$J$2:$J$85,1,Scorecard!$E$2:$E$85,"FULFILLED")</x:f>
        <x:v>4</x:v>
      </x:c>
      <x:c r="D35" s="20" t="n">
        <x:f>COUNTIFS(Scorecard!$C$2:$C$85,A35,Scorecard!$J$2:$J$85,1,Scorecard!$F$2:$F$85,"FULFILLED")</x:f>
        <x:v>4</x:v>
      </x:c>
      <x:c r="E35" s="36" t="n">
        <x:f>IF(B35=0,"—",C35/B35)</x:f>
        <x:v>0.5</x:v>
      </x:c>
      <x:c r="F35" s="36" t="n">
        <x:f>IF(B35=0,"—",D35/B35)</x:f>
        <x:v>0.5</x:v>
      </x:c>
      <x:c r="G35" s="20" t="n">
        <x:f>COUNTIF(Scorecard!$C$2:$C$85,A35)</x:f>
        <x:v>9</x:v>
      </x:c>
      <x:c r="H35" s="14"/>
      <x:c r="I35" s="14"/>
      <x:c r="J35" s="14"/>
    </x:row>
    <x:row r="36" ht="35" customHeight="1">
      <x:c r="A36" s="20" t="str">
        <x:v>Networks &amp; communications</x:v>
      </x:c>
      <x:c r="B36" s="20" t="n">
        <x:f>COUNTIFS(Scorecard!$C$2:$C$85,A36,Scorecard!$J$2:$J$85,1)</x:f>
        <x:v>4</x:v>
      </x:c>
      <x:c r="C36" s="20" t="n">
        <x:f>COUNTIFS(Scorecard!$C$2:$C$85,A36,Scorecard!$J$2:$J$85,1,Scorecard!$E$2:$E$85,"FULFILLED")</x:f>
        <x:v>2</x:v>
      </x:c>
      <x:c r="D36" s="20" t="n">
        <x:f>COUNTIFS(Scorecard!$C$2:$C$85,A36,Scorecard!$J$2:$J$85,1,Scorecard!$F$2:$F$85,"FULFILLED")</x:f>
        <x:v>3</x:v>
      </x:c>
      <x:c r="E36" s="36" t="n">
        <x:f>IF(B36=0,"—",C36/B36)</x:f>
        <x:v>0.5</x:v>
      </x:c>
      <x:c r="F36" s="36" t="n">
        <x:f>IF(B36=0,"—",D36/B36)</x:f>
        <x:v>0.75</x:v>
      </x:c>
      <x:c r="G36" s="20" t="n">
        <x:f>COUNTIF(Scorecard!$C$2:$C$85,A36)</x:f>
        <x:v>4</x:v>
      </x:c>
      <x:c r="H36" s="14"/>
      <x:c r="I36" s="14"/>
      <x:c r="J36" s="14"/>
    </x:row>
    <x:row r="37" ht="35" customHeight="1">
      <x:c r="A37" s="20" t="str">
        <x:v>Neuroscience &amp; human augmentation</x:v>
      </x:c>
      <x:c r="B37" s="20" t="n">
        <x:f>COUNTIFS(Scorecard!$C$2:$C$85,A37,Scorecard!$J$2:$J$85,1)</x:f>
        <x:v>2</x:v>
      </x:c>
      <x:c r="C37" s="20" t="n">
        <x:f>COUNTIFS(Scorecard!$C$2:$C$85,A37,Scorecard!$J$2:$J$85,1,Scorecard!$E$2:$E$85,"FULFILLED")</x:f>
        <x:v>1</x:v>
      </x:c>
      <x:c r="D37" s="20" t="n">
        <x:f>COUNTIFS(Scorecard!$C$2:$C$85,A37,Scorecard!$J$2:$J$85,1,Scorecard!$F$2:$F$85,"FULFILLED")</x:f>
        <x:v>1</x:v>
      </x:c>
      <x:c r="E37" s="36" t="n">
        <x:f>IF(B37=0,"—",C37/B37)</x:f>
        <x:v>0.5</x:v>
      </x:c>
      <x:c r="F37" s="36" t="n">
        <x:f>IF(B37=0,"—",D37/B37)</x:f>
        <x:v>0.5</x:v>
      </x:c>
      <x:c r="G37" s="20" t="n">
        <x:f>COUNTIF(Scorecard!$C$2:$C$85,A37)</x:f>
        <x:v>5</x:v>
      </x:c>
      <x:c r="H37" s="14"/>
      <x:c r="I37" s="14"/>
      <x:c r="J37" s="14"/>
    </x:row>
    <x:row r="38" ht="35" customHeight="1">
      <x:c r="A38" s="20" t="str">
        <x:v>Robotics &amp; transportation</x:v>
      </x:c>
      <x:c r="B38" s="20" t="n">
        <x:f>COUNTIFS(Scorecard!$C$2:$C$85,A38,Scorecard!$J$2:$J$85,1)</x:f>
        <x:v>5</x:v>
      </x:c>
      <x:c r="C38" s="20" t="n">
        <x:f>COUNTIFS(Scorecard!$C$2:$C$85,A38,Scorecard!$J$2:$J$85,1,Scorecard!$E$2:$E$85,"FULFILLED")</x:f>
        <x:v>1</x:v>
      </x:c>
      <x:c r="D38" s="20" t="n">
        <x:f>COUNTIFS(Scorecard!$C$2:$C$85,A38,Scorecard!$J$2:$J$85,1,Scorecard!$F$2:$F$85,"FULFILLED")</x:f>
        <x:v>1</x:v>
      </x:c>
      <x:c r="E38" s="36" t="n">
        <x:f>IF(B38=0,"—",C38/B38)</x:f>
        <x:v>0.2</x:v>
      </x:c>
      <x:c r="F38" s="36" t="n">
        <x:f>IF(B38=0,"—",D38/B38)</x:f>
        <x:v>0.2</x:v>
      </x:c>
      <x:c r="G38" s="20" t="n">
        <x:f>COUNTIF(Scorecard!$C$2:$C$85,A38)</x:f>
        <x:v>5</x:v>
      </x:c>
      <x:c r="H38" s="14"/>
      <x:c r="I38" s="14"/>
      <x:c r="J38" s="14"/>
    </x:row>
    <x:row r="39" ht="35" customHeight="1">
      <x:c r="A39" s="20" t="str">
        <x:v>Security &amp; warfare</x:v>
      </x:c>
      <x:c r="B39" s="20" t="n">
        <x:f>COUNTIFS(Scorecard!$C$2:$C$85,A39,Scorecard!$J$2:$J$85,1)</x:f>
        <x:v>2</x:v>
      </x:c>
      <x:c r="C39" s="20" t="n">
        <x:f>COUNTIFS(Scorecard!$C$2:$C$85,A39,Scorecard!$J$2:$J$85,1,Scorecard!$E$2:$E$85,"FULFILLED")</x:f>
        <x:v>0</x:v>
      </x:c>
      <x:c r="D39" s="20" t="n">
        <x:f>COUNTIFS(Scorecard!$C$2:$C$85,A39,Scorecard!$J$2:$J$85,1,Scorecard!$F$2:$F$85,"FULFILLED")</x:f>
        <x:v>0</x:v>
      </x:c>
      <x:c r="E39" s="36" t="n">
        <x:f>IF(B39=0,"—",C39/B39)</x:f>
        <x:v>0</x:v>
      </x:c>
      <x:c r="F39" s="36" t="n">
        <x:f>IF(B39=0,"—",D39/B39)</x:f>
        <x:v>0</x:v>
      </x:c>
      <x:c r="G39" s="20" t="n">
        <x:f>COUNTIF(Scorecard!$C$2:$C$85,A39)</x:f>
        <x:v>2</x:v>
      </x:c>
      <x:c r="H39" s="14"/>
      <x:c r="I39" s="14"/>
      <x:c r="J39" s="14"/>
    </x:row>
    <x:row r="40">
      <x:c r="A40" s="14"/>
      <x:c r="B40" s="14"/>
      <x:c r="C40" s="14"/>
      <x:c r="D40" s="14"/>
      <x:c r="E40" s="14"/>
      <x:c r="F40" s="14"/>
      <x:c r="G40" s="14"/>
      <x:c r="H40" s="14"/>
      <x:c r="I40" s="14"/>
      <x:c r="J40" s="14"/>
    </x:row>
    <x:row r="41">
      <x:c r="A41" s="14"/>
      <x:c r="B41" s="14"/>
      <x:c r="C41" s="14"/>
      <x:c r="D41" s="14"/>
      <x:c r="E41" s="14"/>
      <x:c r="F41" s="14"/>
      <x:c r="G41" s="14"/>
      <x:c r="H41" s="14"/>
      <x:c r="I41" s="14"/>
      <x:c r="J41" s="14"/>
    </x:row>
    <x:row r="42">
      <x:c r="A42" s="14"/>
      <x:c r="B42" s="14"/>
      <x:c r="C42" s="14"/>
      <x:c r="D42" s="14"/>
      <x:c r="E42" s="14"/>
      <x:c r="F42" s="14"/>
      <x:c r="G42" s="14"/>
      <x:c r="H42" s="14"/>
      <x:c r="I42" s="14"/>
      <x:c r="J42" s="14"/>
    </x:row>
    <x:row r="43">
      <x:c r="A43" s="14"/>
      <x:c r="B43" s="14"/>
      <x:c r="C43" s="14"/>
      <x:c r="D43" s="14"/>
      <x:c r="E43" s="14"/>
      <x:c r="F43" s="14"/>
      <x:c r="G43" s="14"/>
      <x:c r="H43" s="14"/>
      <x:c r="I43" s="14"/>
      <x:c r="J43" s="14"/>
    </x:row>
    <x:row r="44">
      <x:c r="A44" s="14"/>
      <x:c r="B44" s="14"/>
      <x:c r="C44" s="14"/>
      <x:c r="D44" s="14"/>
      <x:c r="E44" s="14"/>
      <x:c r="F44" s="14"/>
      <x:c r="G44" s="14"/>
      <x:c r="H44" s="14"/>
      <x:c r="I44" s="14"/>
      <x:c r="J44" s="14"/>
    </x:row>
    <x:row r="45">
      <x:c r="A45" s="14"/>
      <x:c r="B45" s="14"/>
      <x:c r="C45" s="14"/>
      <x:c r="D45" s="14"/>
      <x:c r="E45" s="14"/>
      <x:c r="F45" s="14"/>
      <x:c r="G45" s="14"/>
      <x:c r="H45" s="14"/>
      <x:c r="I45" s="14"/>
      <x:c r="J45" s="14"/>
    </x:row>
  </x:sheetData>
  <x:mergeCells>
    <x:mergeCell ref="A1:J2"/>
    <x:mergeCell ref="A3:J3"/>
    <x:mergeCell ref="A4:J5"/>
    <x:mergeCell ref="A23:J24"/>
  </x:mergeCells>
  <x:pageMargins left="0.7" right="0.7" top="0.75" bottom="0.75" header="0.3" footer="0.3"/>
  <x:drawing xmlns:r="http://schemas.openxmlformats.org/officeDocument/2006/relationships" r:id="Rea8f3b5972cc477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39" hidden="0" customWidth="1"/>
    <x:col min="3" max="3" width="29" hidden="0" customWidth="1"/>
    <x:col min="4" max="4" width="12" hidden="0" customWidth="1"/>
    <x:col min="5" max="5" width="22" hidden="0" customWidth="1"/>
    <x:col min="6" max="6" width="22" hidden="0" customWidth="1"/>
    <x:col min="7" max="7" width="19" hidden="0" customWidth="1"/>
    <x:col min="8" max="8" width="18" hidden="0" customWidth="1"/>
    <x:col min="9" max="9" width="18" hidden="0" customWidth="1"/>
    <x:col min="10" max="10" width="12" hidden="0" customWidth="1"/>
    <x:col min="11" max="11" width="13" hidden="0" customWidth="1"/>
    <x:col min="12" max="12" width="14" hidden="0" customWidth="1"/>
    <x:col min="13" max="13" width="37" hidden="0" customWidth="1"/>
    <x:col min="14" max="14" width="16" hidden="0" customWidth="1"/>
    <x:col min="15" max="15" width="27" hidden="0" customWidth="1"/>
    <x:col min="16" max="16" width="12" hidden="0" customWidth="1"/>
    <x:col min="17" max="17" width="40" hidden="0" customWidth="1"/>
    <x:col min="18" max="18" width="40" hidden="0" customWidth="1"/>
  </x:cols>
  <x:sheetData>
    <x:row r="1" ht="32" customHeight="1">
      <x:c r="A1" s="9" t="str">
        <x:v>ID</x:v>
      </x:c>
      <x:c r="B1" s="9" t="str">
        <x:v>Prediction</x:v>
      </x:c>
      <x:c r="C1" s="9" t="str">
        <x:v>Primary category</x:v>
      </x:c>
      <x:c r="D1" s="9" t="str">
        <x:v>Target year</x:v>
      </x:c>
      <x:c r="E1" s="9" t="str">
        <x:v>At deadline</x:v>
      </x:c>
      <x:c r="F1" s="9" t="str">
        <x:v>By review</x:v>
      </x:c>
      <x:c r="G1" s="9" t="str">
        <x:v>Reference verdict</x:v>
      </x:c>
      <x:c r="H1" s="9" t="str">
        <x:v>Strict verdict</x:v>
      </x:c>
      <x:c r="I1" s="9" t="str">
        <x:v>Broader verdict</x:v>
      </x:c>
      <x:c r="J1" s="9" t="str">
        <x:v>Due eligible</x:v>
      </x:c>
      <x:c r="K1" s="9" t="str">
        <x:v>First exact year</x:v>
      </x:c>
      <x:c r="L1" s="9" t="str">
        <x:v>Documented by</x:v>
      </x:c>
      <x:c r="M1" s="9" t="str">
        <x:v>Timing / bound</x:v>
      </x:c>
      <x:c r="N1" s="9" t="str">
        <x:v>Outcome confidence</x:v>
      </x:c>
      <x:c r="O1" s="9" t="str">
        <x:v>Attribution state</x:v>
      </x:c>
      <x:c r="P1" s="9" t="str">
        <x:v>New in v0.3</x:v>
      </x:c>
      <x:c r="Q1" s="9" t="str">
        <x:v>Prediction sources</x:v>
      </x:c>
      <x:c r="R1" s="9" t="str">
        <x:v>Outcome sources</x:v>
      </x:c>
    </x:row>
    <x:row r="2" ht="64" customHeight="1">
      <x:c r="A2" s="4" t="str">
        <x:v>K001</x:v>
      </x:c>
      <x:c r="B2" s="4" t="str">
        <x:v>Computer defeats the world chess champion</x:v>
      </x:c>
      <x:c r="C2" s="4" t="str">
        <x:v>AI &amp; software</x:v>
      </x:c>
      <x:c r="D2" s="4" t="n">
        <x:v>1998</x:v>
      </x:c>
      <x:c r="E2" s="4" t="str">
        <x:v>FULFILLED</x:v>
      </x:c>
      <x:c r="F2" s="4" t="str">
        <x:v>FULFILLED</x:v>
      </x:c>
      <x:c r="G2" s="4" t="str">
        <x:v>CORRECT</x:v>
      </x:c>
      <x:c r="H2" s="4" t="str">
        <x:v>CORRECT</x:v>
      </x:c>
      <x:c r="I2" s="4" t="str">
        <x:v>CORRECT</x:v>
      </x:c>
      <x:c r="J2" s="4" t="n">
        <x:v>1</x:v>
      </x:c>
      <x:c r="K2" s="4" t="n">
        <x:v>1997</x:v>
      </x:c>
      <x:c r="L2" s="4"/>
      <x:c r="M2" s="4" t="str">
        <x:v>1997; 1–3 years early across the cited 1998/2000 deadlines</x:v>
      </x:c>
      <x:c r="N2" s="4" t="str">
        <x:v>HIGH</x:v>
      </x:c>
      <x:c r="O2" s="4" t="str">
        <x:v>ATTRIBUTION_CONFLICT</x:v>
      </x:c>
      <x:c r="P2" s="4" t="n">
        <x:v>0</x:v>
      </x:c>
      <x:c r="Q2" s="4" t="str">
        <x:v>https://www.thekurzweillibrary.com/images/How-My-Predictions-Are-Faring.pdf</x:v>
      </x:c>
      <x:c r="R2" s="4" t="str">
        <x:v>https://www.ibm.com/history/deep-blue</x:v>
      </x:c>
    </x:row>
    <x:row r="3" ht="64" customHeight="1">
      <x:c r="A3" s="4" t="str">
        <x:v>K002</x:v>
      </x:c>
      <x:c r="B3" s="4" t="str">
        <x:v>Lighter and thinner portable computers</x:v>
      </x:c>
      <x:c r="C3" s="4" t="str">
        <x:v>Computing hardware</x:v>
      </x:c>
      <x:c r="D3" s="4" t="n">
        <x:v>2009</x:v>
      </x:c>
      <x:c r="E3" s="4" t="str">
        <x:v>FULFILLED</x:v>
      </x:c>
      <x:c r="F3" s="4" t="str">
        <x:v>FULFILLED</x:v>
      </x:c>
      <x:c r="G3" s="4" t="str">
        <x:v>CORRECT</x:v>
      </x:c>
      <x:c r="H3" s="4" t="str">
        <x:v>CORRECT</x:v>
      </x:c>
      <x:c r="I3" s="4" t="str">
        <x:v>CORRECT</x:v>
      </x:c>
      <x:c r="J3" s="4" t="n">
        <x:v>1</x:v>
      </x:c>
      <x:c r="K3" s="4"/>
      <x:c r="L3" s="4" t="n">
        <x:v>2008</x:v>
      </x:c>
      <x:c r="M3" s="4" t="str">
        <x:v>Documented by 2008</x:v>
      </x:c>
      <x:c r="N3" s="4" t="str">
        <x:v>HIGH</x:v>
      </x:c>
      <x:c r="O3" s="4" t="str">
        <x:v>TEXT_CONFIRMED_IN_LISTED_SOURCE</x:v>
      </x:c>
      <x:c r="P3" s="4" t="n">
        <x:v>0</x:v>
      </x:c>
      <x:c r="Q3" s="4" t="str">
        <x:v>https://www.thekurzweillibrary.com/images/How-My-Predictions-Are-Faring.pdf</x:v>
      </x:c>
      <x:c r="R3" s="4" t="str">
        <x:v>https://www.apple.com/newsroom/2000/02/16Apple-Unveils-New-PowerBook-The-Fastest-Portable-Ever/
https://www.apple.com/newsroom/2008/01/15Apple-Introduces-MacBook-Air-The-Worlds-Thinnest-Notebook/
https://www.apple.com/newsroom/2001/01/09Apple-Unveils-One-Inch-Thick-Titanium-PowerBook-G4/</x:v>
      </x:c>
    </x:row>
    <x:row r="4" ht="64" customHeight="1">
      <x:c r="A4" s="4" t="str">
        <x:v>K003</x:v>
      </x:c>
      <x:c r="B4" s="4" t="str">
        <x:v>Computers embedded in clothing and jewelry</x:v>
      </x:c>
      <x:c r="C4" s="4" t="str">
        <x:v>Computing hardware</x:v>
      </x:c>
      <x:c r="D4" s="4" t="n">
        <x:v>2009</x:v>
      </x:c>
      <x:c r="E4" s="4" t="str">
        <x:v>PARTLY_FULFILLED</x:v>
      </x:c>
      <x:c r="F4" s="4" t="str">
        <x:v>FULFILLED</x:v>
      </x:c>
      <x:c r="G4" s="4" t="str">
        <x:v>LATE</x:v>
      </x:c>
      <x:c r="H4" s="4" t="str">
        <x:v>PARTIAL</x:v>
      </x:c>
      <x:c r="I4" s="4" t="str">
        <x:v>LATE</x:v>
      </x:c>
      <x:c r="J4" s="4" t="n">
        <x:v>1</x:v>
      </x:c>
      <x:c r="K4" s="4"/>
      <x:c r="L4" s="4" t="n">
        <x:v>2019</x:v>
      </x:c>
      <x:c r="M4" s="4" t="str">
        <x:v>Documented by 2019; after 2009, no later than 2019</x:v>
      </x:c>
      <x:c r="N4" s="4" t="str">
        <x:v>MEDIUM</x:v>
      </x:c>
      <x:c r="O4" s="4" t="str">
        <x:v>TEXT_CONFIRMED_IN_LISTED_SOURCE</x:v>
      </x:c>
      <x:c r="P4" s="4" t="n">
        <x:v>0</x:v>
      </x:c>
      <x:c r="Q4" s="4" t="str">
        <x:v>https://www.thekurzweillibrary.com/images/How-My-Predictions-Are-Faring.pdf</x:v>
      </x:c>
      <x:c r="R4" s="4" t="str">
        <x:v>https://www.pewresearch.org/short-reads/2020/01/09/about-one-in-five-americans-use-a-smart-watch-or-fitness-tracker/
https://www.pewresearch.org/internet/2010/10/14/americans-and-their-gadgets/
https://www.apple.com/newsroom/2018/09/redesigned-apple-watch-series-4-revolutionizes-communication-fitness-and-health/</x:v>
      </x:c>
    </x:row>
    <x:row r="5" ht="64" customHeight="1">
      <x:c r="A5" s="4" t="str">
        <x:v>K004</x:v>
      </x:c>
      <x:c r="B5" s="4" t="str">
        <x:v>At least a dozen body-networked computers</x:v>
      </x:c>
      <x:c r="C5" s="4" t="str">
        <x:v>Computing hardware</x:v>
      </x:c>
      <x:c r="D5" s="4" t="n">
        <x:v>2009</x:v>
      </x:c>
      <x:c r="E5" s="4" t="str">
        <x:v>NOT_FULFILLED</x:v>
      </x:c>
      <x:c r="F5" s="4" t="str">
        <x:v>NOT_FULFILLED</x:v>
      </x:c>
      <x:c r="G5" s="4" t="str">
        <x:v>WRONG</x:v>
      </x:c>
      <x:c r="H5" s="4" t="str">
        <x:v>WRONG</x:v>
      </x:c>
      <x:c r="I5" s="4" t="str">
        <x:v>LATE</x:v>
      </x:c>
      <x:c r="J5" s="4" t="n">
        <x:v>1</x:v>
      </x:c>
      <x:c r="K5" s="4"/>
      <x:c r="L5" s="4"/>
      <x:c r="M5" s="4" t="str">
        <x:v>Not fully realized by 2026-10-15; overdue, not an observed delay</x:v>
      </x:c>
      <x:c r="N5" s="4" t="str">
        <x:v>MEDIUM</x:v>
      </x:c>
      <x:c r="O5" s="4" t="str">
        <x:v>TEXT_CONFIRMED_IN_LISTED_SOURCE</x:v>
      </x:c>
      <x:c r="P5" s="4" t="n">
        <x:v>0</x:v>
      </x:c>
      <x:c r="Q5" s="4" t="str">
        <x:v>https://www.thekurzweillibrary.com/images/How-My-Predictions-Are-Faring.pdf</x:v>
      </x:c>
      <x:c r="R5" s="4" t="str">
        <x:v>https://www.pewresearch.org/internet/2010/10/14/americans-and-their-gadgets/
https://www.pewresearch.org/short-reads/2020/01/09/about-one-in-five-americans-use-a-smart-watch-or-fitness-tracker/</x:v>
      </x:c>
    </x:row>
    <x:row r="6" ht="64" customHeight="1">
      <x:c r="A6" s="4" t="str">
        <x:v>K005</x:v>
      </x:c>
      <x:c r="B6" s="4" t="str">
        <x:v>Personal devices largely without moving parts</x:v>
      </x:c>
      <x:c r="C6" s="4" t="str">
        <x:v>Computing hardware</x:v>
      </x:c>
      <x:c r="D6" s="4" t="n">
        <x:v>2009</x:v>
      </x:c>
      <x:c r="E6" s="4" t="str">
        <x:v>FULFILLED</x:v>
      </x:c>
      <x:c r="F6" s="4" t="str">
        <x:v>FULFILLED</x:v>
      </x:c>
      <x:c r="G6" s="4" t="str">
        <x:v>CORRECT</x:v>
      </x:c>
      <x:c r="H6" s="4" t="str">
        <x:v>PARTIAL</x:v>
      </x:c>
      <x:c r="I6" s="4" t="str">
        <x:v>CORRECT</x:v>
      </x:c>
      <x:c r="J6" s="4" t="n">
        <x:v>1</x:v>
      </x:c>
      <x:c r="K6" s="4"/>
      <x:c r="L6" s="4" t="n">
        <x:v>2009</x:v>
      </x:c>
      <x:c r="M6" s="4" t="str">
        <x:v>Documented by 2009</x:v>
      </x:c>
      <x:c r="N6" s="4" t="str">
        <x:v>MEDIUM</x:v>
      </x:c>
      <x:c r="O6" s="4" t="str">
        <x:v>TEXT_CONFIRMED_IN_LISTED_SOURCE</x:v>
      </x:c>
      <x:c r="P6" s="4" t="n">
        <x:v>0</x:v>
      </x:c>
      <x:c r="Q6" s="4" t="str">
        <x:v>https://www.thekurzweillibrary.com/images/How-My-Predictions-Are-Faring.pdf</x:v>
      </x:c>
      <x:c r="R6" s="4" t="str">
        <x:v>https://www.apple.com/newsroom/2009/03/11Apple-Announces-Incredible-New-iPod-shuffle/
https://www.apple.com/newsroom/2008/07/14iPhone-App-Store-Downloads-Top-10-Million-in-First-Weekend/</x:v>
      </x:c>
    </x:row>
    <x:row r="7" ht="64" customHeight="1">
      <x:c r="A7" s="4" t="str">
        <x:v>K006</x:v>
      </x:c>
      <x:c r="B7" s="4" t="str">
        <x:v>Most portable computers lack keyboards</x:v>
      </x:c>
      <x:c r="C7" s="4" t="str">
        <x:v>Computing hardware</x:v>
      </x:c>
      <x:c r="D7" s="4" t="n">
        <x:v>2009</x:v>
      </x:c>
      <x:c r="E7" s="4" t="str">
        <x:v>PARTLY_FULFILLED</x:v>
      </x:c>
      <x:c r="F7" s="4" t="str">
        <x:v>FULFILLED</x:v>
      </x:c>
      <x:c r="G7" s="4" t="str">
        <x:v>LATE</x:v>
      </x:c>
      <x:c r="H7" s="4" t="str">
        <x:v>WRONG</x:v>
      </x:c>
      <x:c r="I7" s="4" t="str">
        <x:v>LATE</x:v>
      </x:c>
      <x:c r="J7" s="4" t="n">
        <x:v>1</x:v>
      </x:c>
      <x:c r="K7" s="4"/>
      <x:c r="L7" s="4" t="n">
        <x:v>2015</x:v>
      </x:c>
      <x:c r="M7" s="4" t="str">
        <x:v>By the mid-2010s on the stated market reading; exact threshold year not established</x:v>
      </x:c>
      <x:c r="N7" s="4" t="str">
        <x:v>MEDIUM</x:v>
      </x:c>
      <x:c r="O7" s="4" t="str">
        <x:v>TEXT_CONFIRMED_IN_LISTED_SOURCE</x:v>
      </x:c>
      <x:c r="P7" s="4" t="n">
        <x:v>0</x:v>
      </x:c>
      <x:c r="Q7" s="4" t="str">
        <x:v>https://www.thekurzweillibrary.com/images/How-My-Predictions-Are-Faring.pdf</x:v>
      </x:c>
      <x:c r="R7" s="4" t="str">
        <x:v>https://www.apple.com/newsroom/2008/07/14iPhone-App-Store-Downloads-Top-10-Million-in-First-Weekend/
https://www.pewresearch.org/internet/2010/10/14/americans-and-their-gadgets/
https://www.pressebox.com/pressrelease/gartner-uk-ltd/Gartner-Says-Annual-Smartphone-Sales-Surpassed-Sales-of-Feature-Phones-for-the-First-Time-in-2013/boxid/658123</x:v>
      </x:c>
    </x:row>
    <x:row r="8" ht="64" customHeight="1">
      <x:c r="A8" s="4" t="str">
        <x:v>K007</x:v>
      </x:c>
      <x:c r="B8" s="4" t="str">
        <x:v>Home and office servers for most users</x:v>
      </x:c>
      <x:c r="C8" s="4" t="str">
        <x:v>Networks &amp; communications</x:v>
      </x:c>
      <x:c r="D8" s="4" t="n">
        <x:v>2009</x:v>
      </x:c>
      <x:c r="E8" s="4" t="str">
        <x:v>PARTLY_FULFILLED</x:v>
      </x:c>
      <x:c r="F8" s="4" t="str">
        <x:v>PARTLY_FULFILLED</x:v>
      </x:c>
      <x:c r="G8" s="4" t="str">
        <x:v>PARTIAL</x:v>
      </x:c>
      <x:c r="H8" s="4" t="str">
        <x:v>PARTIAL</x:v>
      </x:c>
      <x:c r="I8" s="4" t="str">
        <x:v>LATE</x:v>
      </x:c>
      <x:c r="J8" s="4" t="n">
        <x:v>1</x:v>
      </x:c>
      <x:c r="K8" s="4"/>
      <x:c r="L8" s="4"/>
      <x:c r="M8" s="4" t="str">
        <x:v>Not fully realized by 2026-10-15; overdue, not an observed delay</x:v>
      </x:c>
      <x:c r="N8" s="4" t="str">
        <x:v>MEDIUM</x:v>
      </x:c>
      <x:c r="O8" s="4" t="str">
        <x:v>TEXT_CONFIRMED_IN_LISTED_SOURCE</x:v>
      </x:c>
      <x:c r="P8" s="4" t="n">
        <x:v>0</x:v>
      </x:c>
      <x:c r="Q8" s="4" t="str">
        <x:v>https://www.thekurzweillibrary.com/images/How-My-Predictions-Are-Faring.pdf</x:v>
      </x:c>
      <x:c r="R8" s="4" t="str">
        <x:v>https://www.pewresearch.org/internet/2010/10/14/americans-and-their-gadgets/
https://www.apple.com/newsroom/2011/10/04Apple-Launches-iPhone-4S-iOS-5-iCloud/
https://www.apple.com/newsroom/2008/06/19iTunes-Store-Tops-Over-Five-Billion-Songs-Sold/</x:v>
      </x:c>
    </x:row>
    <x:row r="9" ht="64" customHeight="1">
      <x:c r="A9" s="4" t="str">
        <x:v>K008</x:v>
      </x:c>
      <x:c r="B9" s="4" t="str">
        <x:v>Wireless delivery of digital media and software</x:v>
      </x:c>
      <x:c r="C9" s="4" t="str">
        <x:v>Media, education &amp; culture</x:v>
      </x:c>
      <x:c r="D9" s="4" t="n">
        <x:v>2009</x:v>
      </x:c>
      <x:c r="E9" s="4" t="str">
        <x:v>FULFILLED</x:v>
      </x:c>
      <x:c r="F9" s="4" t="str">
        <x:v>FULFILLED</x:v>
      </x:c>
      <x:c r="G9" s="4" t="str">
        <x:v>CORRECT</x:v>
      </x:c>
      <x:c r="H9" s="4" t="str">
        <x:v>CORRECT</x:v>
      </x:c>
      <x:c r="I9" s="4" t="str">
        <x:v>CORRECT</x:v>
      </x:c>
      <x:c r="J9" s="4" t="n">
        <x:v>1</x:v>
      </x:c>
      <x:c r="K9" s="4"/>
      <x:c r="L9" s="4" t="n">
        <x:v>2009</x:v>
      </x:c>
      <x:c r="M9" s="4" t="str">
        <x:v>Documented by 2009</x:v>
      </x:c>
      <x:c r="N9" s="4" t="str">
        <x:v>HIGH</x:v>
      </x:c>
      <x:c r="O9" s="4" t="str">
        <x:v>TEXT_CONFIRMED_IN_LISTED_SOURCE</x:v>
      </x:c>
      <x:c r="P9" s="4" t="n">
        <x:v>0</x:v>
      </x:c>
      <x:c r="Q9" s="4" t="str">
        <x:v>https://www.thekurzweillibrary.com/images/How-My-Predictions-Are-Faring.pdf</x:v>
      </x:c>
      <x:c r="R9" s="4" t="str">
        <x:v>https://press.aboutamazon.com/2007/11/introducing-amazon-kindle
https://www.apple.com/newsroom/2008/06/19iTunes-Store-Tops-Over-Five-Billion-Songs-Sold/
https://www.apple.com/newsroom/2008/07/14iPhone-App-Store-Downloads-Top-10-Million-in-First-Weekend/</x:v>
      </x:c>
    </x:row>
    <x:row r="10" ht="64" customHeight="1">
      <x:c r="A10" s="4" t="str">
        <x:v>K009</x:v>
      </x:c>
      <x:c r="B10" s="4" t="str">
        <x:v>Wireless links replace some peripheral cables</x:v>
      </x:c>
      <x:c r="C10" s="4" t="str">
        <x:v>Networks &amp; communications</x:v>
      </x:c>
      <x:c r="D10" s="4" t="n">
        <x:v>2009</x:v>
      </x:c>
      <x:c r="E10" s="4" t="str">
        <x:v>FULFILLED</x:v>
      </x:c>
      <x:c r="F10" s="4" t="str">
        <x:v>FULFILLED</x:v>
      </x:c>
      <x:c r="G10" s="4" t="str">
        <x:v>CORRECT</x:v>
      </x:c>
      <x:c r="H10" s="4" t="str">
        <x:v>PARTIAL</x:v>
      </x:c>
      <x:c r="I10" s="4" t="str">
        <x:v>CORRECT</x:v>
      </x:c>
      <x:c r="J10" s="4" t="n">
        <x:v>1</x:v>
      </x:c>
      <x:c r="K10" s="4"/>
      <x:c r="L10" s="4" t="n">
        <x:v>2009</x:v>
      </x:c>
      <x:c r="M10" s="4" t="str">
        <x:v>Documented by 2009</x:v>
      </x:c>
      <x:c r="N10" s="4" t="str">
        <x:v>MEDIUM</x:v>
      </x:c>
      <x:c r="O10" s="4" t="str">
        <x:v>TEXT_CONFIRMED_IN_LISTED_SOURCE</x:v>
      </x:c>
      <x:c r="P10" s="4" t="n">
        <x:v>0</x:v>
      </x:c>
      <x:c r="Q10" s="4" t="str">
        <x:v>https://www.thekurzweillibrary.com/images/How-My-Predictions-Are-Faring.pdf</x:v>
      </x:c>
      <x:c r="R10" s="4" t="str">
        <x:v>https://www.apple.com/ca/newsroom/2003/09/16Apple-Introduces-Wireless-Keyboard-Mouse/
https://www.pewresearch.org/internet/2009/07/22/wireless-internet-use/</x:v>
      </x:c>
    </x:row>
    <x:row r="11" ht="64" customHeight="1">
      <x:c r="A11" s="4" t="str">
        <x:v>K010</x:v>
      </x:c>
      <x:c r="B11" s="4" t="str">
        <x:v>Routine, reliable, high-bandwidth wireless access</x:v>
      </x:c>
      <x:c r="C11" s="4" t="str">
        <x:v>Networks &amp; communications</x:v>
      </x:c>
      <x:c r="D11" s="4" t="n">
        <x:v>2009</x:v>
      </x:c>
      <x:c r="E11" s="4" t="str">
        <x:v>FULFILLED</x:v>
      </x:c>
      <x:c r="F11" s="4" t="str">
        <x:v>FULFILLED</x:v>
      </x:c>
      <x:c r="G11" s="4" t="str">
        <x:v>CORRECT</x:v>
      </x:c>
      <x:c r="H11" s="4" t="str">
        <x:v>PARTIAL</x:v>
      </x:c>
      <x:c r="I11" s="4" t="str">
        <x:v>CORRECT</x:v>
      </x:c>
      <x:c r="J11" s="4" t="n">
        <x:v>1</x:v>
      </x:c>
      <x:c r="K11" s="4"/>
      <x:c r="L11" s="4" t="n">
        <x:v>2009</x:v>
      </x:c>
      <x:c r="M11" s="4" t="str">
        <x:v>Documented by 2009</x:v>
      </x:c>
      <x:c r="N11" s="4" t="str">
        <x:v>MEDIUM</x:v>
      </x:c>
      <x:c r="O11" s="4" t="str">
        <x:v>TEXT_CONFIRMED_IN_LISTED_SOURCE</x:v>
      </x:c>
      <x:c r="P11" s="4" t="n">
        <x:v>0</x:v>
      </x:c>
      <x:c r="Q11" s="4" t="str">
        <x:v>https://www.thekurzweillibrary.com/images/How-My-Predictions-Are-Faring.pdf</x:v>
      </x:c>
      <x:c r="R11" s="4" t="str">
        <x:v>https://www.pewresearch.org/internet/2009/07/22/wireless-internet-use/
https://www.apple.com/newsroom/2008/07/14iPhone-App-Store-Downloads-Top-10-Million-in-First-Weekend/</x:v>
      </x:c>
    </x:row>
    <x:row r="12" ht="64" customHeight="1">
      <x:c r="A12" s="4" t="str">
        <x:v>K011</x:v>
      </x:c>
      <x:c r="B12" s="4" t="str">
        <x:v>Dictation creates the majority of text</x:v>
      </x:c>
      <x:c r="C12" s="4" t="str">
        <x:v>AI &amp; software</x:v>
      </x:c>
      <x:c r="D12" s="4" t="n">
        <x:v>2009</x:v>
      </x:c>
      <x:c r="E12" s="4" t="str">
        <x:v>NOT_FULFILLED</x:v>
      </x:c>
      <x:c r="F12" s="4" t="str">
        <x:v>NOT_FULFILLED</x:v>
      </x:c>
      <x:c r="G12" s="4" t="str">
        <x:v>WRONG</x:v>
      </x:c>
      <x:c r="H12" s="4" t="str">
        <x:v>WRONG</x:v>
      </x:c>
      <x:c r="I12" s="4" t="str">
        <x:v>LATE</x:v>
      </x:c>
      <x:c r="J12" s="4" t="n">
        <x:v>1</x:v>
      </x:c>
      <x:c r="K12" s="4"/>
      <x:c r="L12" s="4"/>
      <x:c r="M12" s="4" t="str">
        <x:v>Not fully realized by 2026-10-15; overdue, not an observed delay</x:v>
      </x:c>
      <x:c r="N12" s="4" t="str">
        <x:v>MEDIUM</x:v>
      </x:c>
      <x:c r="O12" s="4" t="str">
        <x:v>TEXT_CONFIRMED_IN_LISTED_SOURCE</x:v>
      </x:c>
      <x:c r="P12" s="4" t="n">
        <x:v>0</x:v>
      </x:c>
      <x:c r="Q12" s="4" t="str">
        <x:v>https://www.thekurzweillibrary.com/images/How-My-Predictions-Are-Faring.pdf</x:v>
      </x:c>
      <x:c r="R12" s="4" t="str">
        <x:v>https://www.thekurzweillibrary.com/images/How-My-Predictions-Are-Faring.pdf
https://www.apple.com/newsroom/2011/10/04Apple-Launches-iPhone-4S-iOS-5-iCloud/
https://www.microsoft.com/en-us/microsoft-365/blog/2019/07/11/microsoft-teams-reaches-13-million-daily-active-users-introduces-4-new-ways-for-teams-to-work-better-together/</x:v>
      </x:c>
    </x:row>
    <x:row r="13" ht="64" customHeight="1">
      <x:c r="A13" s="4" t="str">
        <x:v>K012</x:v>
      </x:c>
      <x:c r="B13" s="4" t="str">
        <x:v>Ubiquitous language interfaces and animated assistants</x:v>
      </x:c>
      <x:c r="C13" s="4" t="str">
        <x:v>AI &amp; software</x:v>
      </x:c>
      <x:c r="D13" s="4" t="n">
        <x:v>2009</x:v>
      </x:c>
      <x:c r="E13" s="4" t="str">
        <x:v>PARTLY_FULFILLED</x:v>
      </x:c>
      <x:c r="F13" s="4" t="str">
        <x:v>PARTLY_FULFILLED</x:v>
      </x:c>
      <x:c r="G13" s="4" t="str">
        <x:v>PARTIAL</x:v>
      </x:c>
      <x:c r="H13" s="4" t="str">
        <x:v>PARTIAL</x:v>
      </x:c>
      <x:c r="I13" s="4" t="str">
        <x:v>LATE</x:v>
      </x:c>
      <x:c r="J13" s="4" t="n">
        <x:v>1</x:v>
      </x:c>
      <x:c r="K13" s="4"/>
      <x:c r="L13" s="4"/>
      <x:c r="M13" s="4" t="str">
        <x:v>Not fully realized by 2026-10-15; overdue, not an observed delay</x:v>
      </x:c>
      <x:c r="N13" s="4" t="str">
        <x:v>MEDIUM</x:v>
      </x:c>
      <x:c r="O13" s="4" t="str">
        <x:v>TEXT_CONFIRMED_IN_LISTED_SOURCE</x:v>
      </x:c>
      <x:c r="P13" s="4" t="n">
        <x:v>0</x:v>
      </x:c>
      <x:c r="Q13" s="4" t="str">
        <x:v>https://www.thekurzweillibrary.com/images/How-My-Predictions-Are-Faring.pdf</x:v>
      </x:c>
      <x:c r="R13" s="4" t="str">
        <x:v>https://www.thekurzweillibrary.com/images/How-My-Predictions-Are-Faring.pdf
https://www.apple.com/newsroom/2011/10/04Apple-Launches-iPhone-4S-iOS-5-iCloud/
https://www.microsoft.com/en-us/microsoft-365/blog/2019/07/11/microsoft-teams-reaches-13-million-daily-active-users-introduces-4-new-ways-for-teams-to-work-better-together/</x:v>
      </x:c>
    </x:row>
    <x:row r="14" ht="64" customHeight="1">
      <x:c r="A14" s="4" t="str">
        <x:v>K013</x:v>
      </x:c>
      <x:c r="B14" s="4" t="str">
        <x:v>Paper-like displays and routine electronic reading</x:v>
      </x:c>
      <x:c r="C14" s="4" t="str">
        <x:v>Interfaces &amp; virtual worlds</x:v>
      </x:c>
      <x:c r="D14" s="4" t="n">
        <x:v>2009</x:v>
      </x:c>
      <x:c r="E14" s="4" t="str">
        <x:v>FULFILLED</x:v>
      </x:c>
      <x:c r="F14" s="4" t="str">
        <x:v>FULFILLED</x:v>
      </x:c>
      <x:c r="G14" s="4" t="str">
        <x:v>CORRECT</x:v>
      </x:c>
      <x:c r="H14" s="4" t="str">
        <x:v>CORRECT</x:v>
      </x:c>
      <x:c r="I14" s="4" t="str">
        <x:v>CORRECT</x:v>
      </x:c>
      <x:c r="J14" s="4" t="n">
        <x:v>1</x:v>
      </x:c>
      <x:c r="K14" s="4"/>
      <x:c r="L14" s="4" t="n">
        <x:v>2007</x:v>
      </x:c>
      <x:c r="M14" s="4" t="str">
        <x:v>Documented by 2007</x:v>
      </x:c>
      <x:c r="N14" s="4" t="str">
        <x:v>HIGH</x:v>
      </x:c>
      <x:c r="O14" s="4" t="str">
        <x:v>TEXT_CONFIRMED_IN_LISTED_SOURCE</x:v>
      </x:c>
      <x:c r="P14" s="4" t="n">
        <x:v>0</x:v>
      </x:c>
      <x:c r="Q14" s="4" t="str">
        <x:v>https://www.thekurzweillibrary.com/images/How-My-Predictions-Are-Faring.pdf</x:v>
      </x:c>
      <x:c r="R14" s="4" t="str">
        <x:v>https://press.aboutamazon.com/2007/11/introducing-amazon-kindle</x:v>
      </x:c>
    </x:row>
    <x:row r="15" ht="64" customHeight="1">
      <x:c r="A15" s="4" t="str">
        <x:v>K014</x:v>
      </x:c>
      <x:c r="B15" s="4" t="str">
        <x:v>See-through glasses with direct retinal projection</x:v>
      </x:c>
      <x:c r="C15" s="4" t="str">
        <x:v>Interfaces &amp; virtual worlds</x:v>
      </x:c>
      <x:c r="D15" s="4" t="n">
        <x:v>2009</x:v>
      </x:c>
      <x:c r="E15" s="4" t="str">
        <x:v>FULFILLED</x:v>
      </x:c>
      <x:c r="F15" s="4" t="str">
        <x:v>FULFILLED</x:v>
      </x:c>
      <x:c r="G15" s="4" t="str">
        <x:v>CORRECT</x:v>
      </x:c>
      <x:c r="H15" s="4" t="str">
        <x:v>PARTIAL</x:v>
      </x:c>
      <x:c r="I15" s="4" t="str">
        <x:v>CORRECT</x:v>
      </x:c>
      <x:c r="J15" s="4" t="n">
        <x:v>1</x:v>
      </x:c>
      <x:c r="K15" s="4"/>
      <x:c r="L15" s="4" t="n">
        <x:v>2004</x:v>
      </x:c>
      <x:c r="M15" s="4" t="str">
        <x:v>Documented by 2004</x:v>
      </x:c>
      <x:c r="N15" s="4" t="str">
        <x:v>MEDIUM</x:v>
      </x:c>
      <x:c r="O15" s="4" t="str">
        <x:v>TEXT_CONFIRMED_IN_LISTED_SOURCE</x:v>
      </x:c>
      <x:c r="P15" s="4" t="n">
        <x:v>0</x:v>
      </x:c>
      <x:c r="Q15" s="4" t="str">
        <x:v>https://www.thekurzweillibrary.com/images/How-My-Predictions-Are-Faring.pdf</x:v>
      </x:c>
      <x:c r="R15" s="4" t="str">
        <x:v>https://www.theautochannel.com/news/2004/08/10/208323.html</x:v>
      </x:c>
    </x:row>
    <x:row r="16" ht="64" customHeight="1">
      <x:c r="A16" s="4" t="str">
        <x:v>K015</x:v>
      </x:c>
      <x:c r="B16" s="4" t="str">
        <x:v>Glasses and contact-lens displays in the 2010s</x:v>
      </x:c>
      <x:c r="C16" s="4" t="str">
        <x:v>Interfaces &amp; virtual worlds</x:v>
      </x:c>
      <x:c r="D16" s="4" t="n">
        <x:v>2010</x:v>
      </x:c>
      <x:c r="E16" s="4" t="str">
        <x:v>PARTLY_FULFILLED</x:v>
      </x:c>
      <x:c r="F16" s="4" t="str">
        <x:v>PARTLY_FULFILLED</x:v>
      </x:c>
      <x:c r="G16" s="4" t="str">
        <x:v>PARTIAL</x:v>
      </x:c>
      <x:c r="H16" s="4" t="str">
        <x:v>PARTIAL</x:v>
      </x:c>
      <x:c r="I16" s="4" t="str">
        <x:v>CORRECT</x:v>
      </x:c>
      <x:c r="J16" s="4" t="n">
        <x:v>1</x:v>
      </x:c>
      <x:c r="K16" s="4"/>
      <x:c r="L16" s="4"/>
      <x:c r="M16" s="4" t="str">
        <x:v>Not fully realized by 2026-10-15; overdue, not an observed delay</x:v>
      </x:c>
      <x:c r="N16" s="4" t="str">
        <x:v>MEDIUM</x:v>
      </x:c>
      <x:c r="O16" s="4" t="str">
        <x:v>TEXT_CONFIRMED_IN_LISTED_SOURCE</x:v>
      </x:c>
      <x:c r="P16" s="4" t="n">
        <x:v>0</x:v>
      </x:c>
      <x:c r="Q16" s="4" t="str">
        <x:v>https://www.thekurzweillibrary.com/images/How-My-Predictions-Are-Faring.pdf</x:v>
      </x:c>
      <x:c r="R16" s="4" t="str">
        <x:v>https://www.theautochannel.com/news/2004/08/10/208323.html
https://www.qualcomm.com/news/releases/2019/05/qualcomm-snapdragon-mobile-vr-platform-powers-oculus-quest</x:v>
      </x:c>
    </x:row>
    <x:row r="17" ht="64" customHeight="1">
      <x:c r="A17" s="4" t="str">
        <x:v>K016</x:v>
      </x:c>
      <x:c r="B17" s="4" t="str">
        <x:v>Tiny devices project auditory environments</x:v>
      </x:c>
      <x:c r="C17" s="4" t="str">
        <x:v>Interfaces &amp; virtual worlds</x:v>
      </x:c>
      <x:c r="D17" s="4" t="n">
        <x:v>2010</x:v>
      </x:c>
      <x:c r="E17" s="4" t="str">
        <x:v>PARTLY_FULFILLED</x:v>
      </x:c>
      <x:c r="F17" s="4" t="str">
        <x:v>FULFILLED</x:v>
      </x:c>
      <x:c r="G17" s="4" t="str">
        <x:v>LATE</x:v>
      </x:c>
      <x:c r="H17" s="4" t="str">
        <x:v>PARTIAL</x:v>
      </x:c>
      <x:c r="I17" s="4" t="str">
        <x:v>LATE</x:v>
      </x:c>
      <x:c r="J17" s="4" t="n">
        <x:v>1</x:v>
      </x:c>
      <x:c r="K17" s="4"/>
      <x:c r="L17" s="4" t="n">
        <x:v>2021</x:v>
      </x:c>
      <x:c r="M17" s="4" t="str">
        <x:v>Documented by 2021; after 2010, no later than 2021</x:v>
      </x:c>
      <x:c r="N17" s="4" t="str">
        <x:v>MEDIUM</x:v>
      </x:c>
      <x:c r="O17" s="4" t="str">
        <x:v>TEXT_CONFIRMED_IN_LISTED_SOURCE</x:v>
      </x:c>
      <x:c r="P17" s="4" t="n">
        <x:v>0</x:v>
      </x:c>
      <x:c r="Q17" s="4" t="str">
        <x:v>https://www.thekurzweillibrary.com/images/How-My-Predictions-Are-Faring.pdf</x:v>
      </x:c>
      <x:c r="R17" s="4" t="str">
        <x:v>https://www.thekurzweillibrary.com/images/How-My-Predictions-Are-Faring.pdf
https://www.apple.com/newsroom/2021/10/introducing-the-next-generation-of-airpods/
https://support.apple.com/en-kz/guide/airpods/dev00eb7e0a3/web</x:v>
      </x:c>
    </x:row>
    <x:row r="18" ht="64" customHeight="1">
      <x:c r="A18" s="4" t="str">
        <x:v>K017</x:v>
      </x:c>
      <x:c r="B18" s="4" t="str">
        <x:v>Anytime immersive audiovisual virtual reality</x:v>
      </x:c>
      <x:c r="C18" s="4" t="str">
        <x:v>Interfaces &amp; virtual worlds</x:v>
      </x:c>
      <x:c r="D18" s="4" t="n">
        <x:v>2010</x:v>
      </x:c>
      <x:c r="E18" s="4" t="str">
        <x:v>PARTLY_FULFILLED</x:v>
      </x:c>
      <x:c r="F18" s="4" t="str">
        <x:v>FULFILLED</x:v>
      </x:c>
      <x:c r="G18" s="4" t="str">
        <x:v>LATE</x:v>
      </x:c>
      <x:c r="H18" s="4" t="str">
        <x:v>PARTIAL</x:v>
      </x:c>
      <x:c r="I18" s="4" t="str">
        <x:v>LATE</x:v>
      </x:c>
      <x:c r="J18" s="4" t="n">
        <x:v>1</x:v>
      </x:c>
      <x:c r="K18" s="4"/>
      <x:c r="L18" s="4" t="n">
        <x:v>2019</x:v>
      </x:c>
      <x:c r="M18" s="4" t="str">
        <x:v>Documented by 2019; after 2010, no later than 2019</x:v>
      </x:c>
      <x:c r="N18" s="4" t="str">
        <x:v>MEDIUM</x:v>
      </x:c>
      <x:c r="O18" s="4" t="str">
        <x:v>TEXT_CONFIRMED_IN_LISTED_SOURCE</x:v>
      </x:c>
      <x:c r="P18" s="4" t="n">
        <x:v>0</x:v>
      </x:c>
      <x:c r="Q18" s="4" t="str">
        <x:v>https://www.thekurzweillibrary.com/images/How-My-Predictions-Are-Faring.pdf</x:v>
      </x:c>
      <x:c r="R18" s="4" t="str">
        <x:v>https://www.qualcomm.com/news/releases/2019/05/qualcomm-snapdragon-mobile-vr-platform-powers-oculus-quest</x:v>
      </x:c>
    </x:row>
    <x:row r="19" ht="64" customHeight="1">
      <x:c r="A19" s="4" t="str">
        <x:v>K018</x:v>
      </x:c>
      <x:c r="B19" s="4" t="str">
        <x:v>Augmented-reality overlays</x:v>
      </x:c>
      <x:c r="C19" s="4" t="str">
        <x:v>Interfaces &amp; virtual worlds</x:v>
      </x:c>
      <x:c r="D19" s="4" t="n">
        <x:v>2010</x:v>
      </x:c>
      <x:c r="E19" s="4" t="str">
        <x:v>FULFILLED</x:v>
      </x:c>
      <x:c r="F19" s="4" t="str">
        <x:v>FULFILLED</x:v>
      </x:c>
      <x:c r="G19" s="4" t="str">
        <x:v>CORRECT</x:v>
      </x:c>
      <x:c r="H19" s="4" t="str">
        <x:v>CORRECT</x:v>
      </x:c>
      <x:c r="I19" s="4" t="str">
        <x:v>CORRECT</x:v>
      </x:c>
      <x:c r="J19" s="4" t="n">
        <x:v>1</x:v>
      </x:c>
      <x:c r="K19" s="4"/>
      <x:c r="L19" s="4" t="n">
        <x:v>2004</x:v>
      </x:c>
      <x:c r="M19" s="4" t="str">
        <x:v>Documented by 2004</x:v>
      </x:c>
      <x:c r="N19" s="4" t="str">
        <x:v>HIGH</x:v>
      </x:c>
      <x:c r="O19" s="4" t="str">
        <x:v>TEXT_CONFIRMED_IN_LISTED_SOURCE</x:v>
      </x:c>
      <x:c r="P19" s="4" t="n">
        <x:v>0</x:v>
      </x:c>
      <x:c r="Q19" s="4" t="str">
        <x:v>https://www.thekurzweillibrary.com/images/How-My-Predictions-Are-Faring.pdf</x:v>
      </x:c>
      <x:c r="R19" s="4" t="str">
        <x:v>https://www.theautochannel.com/news/2004/08/10/208323.html</x:v>
      </x:c>
    </x:row>
    <x:row r="20" ht="64" customHeight="1">
      <x:c r="A20" s="4" t="str">
        <x:v>K019</x:v>
      </x:c>
      <x:c r="B20" s="4" t="str">
        <x:v>People largely removed from the battlefield</x:v>
      </x:c>
      <x:c r="C20" s="4" t="str">
        <x:v>Security &amp; warfare</x:v>
      </x:c>
      <x:c r="D20" s="4" t="n">
        <x:v>2009</x:v>
      </x:c>
      <x:c r="E20" s="4" t="str">
        <x:v>NOT_FULFILLED</x:v>
      </x:c>
      <x:c r="F20" s="4" t="str">
        <x:v>NOT_FULFILLED</x:v>
      </x:c>
      <x:c r="G20" s="4" t="str">
        <x:v>WRONG</x:v>
      </x:c>
      <x:c r="H20" s="4" t="str">
        <x:v>WRONG</x:v>
      </x:c>
      <x:c r="I20" s="4" t="str">
        <x:v>LATE</x:v>
      </x:c>
      <x:c r="J20" s="4" t="n">
        <x:v>1</x:v>
      </x:c>
      <x:c r="K20" s="4"/>
      <x:c r="L20" s="4"/>
      <x:c r="M20" s="4" t="str">
        <x:v>Not fully realized by 2026-10-15; overdue, not an observed delay</x:v>
      </x:c>
      <x:c r="N20" s="4" t="str">
        <x:v>HIGH</x:v>
      </x:c>
      <x:c r="O20" s="4" t="str">
        <x:v>TEXT_CONFIRMED_IN_LISTED_SOURCE</x:v>
      </x:c>
      <x:c r="P20" s="4" t="n">
        <x:v>0</x:v>
      </x:c>
      <x:c r="Q20" s="4" t="str">
        <x:v>https://www.thekurzweillibrary.com/images/How-My-Predictions-Are-Faring.pdf</x:v>
      </x:c>
      <x:c r="R20" s="4" t="str">
        <x:v>https://obamawhitehouse.archives.gov/the-press-office/excerpts-presidents-address-nation
https://ukraine.ohchr.org/en/2025-deadliest-year-for-civilians-in-Ukraine-since-2022-UN-human-rights-monitors-find</x:v>
      </x:c>
    </x:row>
    <x:row r="21" ht="64" customHeight="1">
      <x:c r="A21" s="4" t="str">
        <x:v>K020</x:v>
      </x:c>
      <x:c r="B21" s="4" t="str">
        <x:v>Unmanned aircraft dominate warfare</x:v>
      </x:c>
      <x:c r="C21" s="4" t="str">
        <x:v>Security &amp; warfare</x:v>
      </x:c>
      <x:c r="D21" s="4" t="n">
        <x:v>2009</x:v>
      </x:c>
      <x:c r="E21" s="4" t="str">
        <x:v>NOT_FULFILLED</x:v>
      </x:c>
      <x:c r="F21" s="4" t="str">
        <x:v>PARTLY_FULFILLED</x:v>
      </x:c>
      <x:c r="G21" s="4" t="str">
        <x:v>PARTIAL</x:v>
      </x:c>
      <x:c r="H21" s="4" t="str">
        <x:v>PARTIAL</x:v>
      </x:c>
      <x:c r="I21" s="4" t="str">
        <x:v>LATE</x:v>
      </x:c>
      <x:c r="J21" s="4" t="n">
        <x:v>1</x:v>
      </x:c>
      <x:c r="K21" s="4"/>
      <x:c r="L21" s="4"/>
      <x:c r="M21" s="4" t="str">
        <x:v>Not fully realized by 2026-10-15; overdue, not an observed delay</x:v>
      </x:c>
      <x:c r="N21" s="4" t="str">
        <x:v>MEDIUM</x:v>
      </x:c>
      <x:c r="O21" s="4" t="str">
        <x:v>TEXT_CONFIRMED_IN_LISTED_SOURCE</x:v>
      </x:c>
      <x:c r="P21" s="4" t="n">
        <x:v>0</x:v>
      </x:c>
      <x:c r="Q21" s="4" t="str">
        <x:v>https://www.thekurzweillibrary.com/images/How-My-Predictions-Are-Faring.pdf</x:v>
      </x:c>
      <x:c r="R21" s="4" t="str">
        <x:v>https://obamawhitehouse.archives.gov/the-press-office/excerpts-presidents-address-nation
https://ukraine.ohchr.org/en/2025-deadliest-year-for-civilians-in-Ukraine-since-2022-UN-human-rights-monitors-find</x:v>
      </x:c>
    </x:row>
    <x:row r="22" ht="64" customHeight="1">
      <x:c r="A22" s="4" t="str">
        <x:v>K021</x:v>
      </x:c>
      <x:c r="B22" s="4" t="str">
        <x:v>Solar meets worldwide energy demand</x:v>
      </x:c>
      <x:c r="C22" s="4" t="str">
        <x:v>Energy &amp; environment</x:v>
      </x:c>
      <x:c r="D22" s="4" t="n">
        <x:v>2028</x:v>
      </x:c>
      <x:c r="E22" s="4" t="str">
        <x:v>NOT_DUE</x:v>
      </x:c>
      <x:c r="F22" s="4" t="str">
        <x:v>PARTLY_FULFILLED</x:v>
      </x:c>
      <x:c r="G22" s="4" t="str">
        <x:v>PENDING</x:v>
      </x:c>
      <x:c r="H22" s="4" t="str">
        <x:v>PENDING</x:v>
      </x:c>
      <x:c r="I22" s="4" t="str">
        <x:v>PENDING</x:v>
      </x:c>
      <x:c r="J22" s="4" t="n">
        <x:v>0</x:v>
      </x:c>
      <x:c r="K22" s="4"/>
      <x:c r="L22" s="4"/>
      <x:c r="M22" s="4" t="str">
        <x:v>Deadline not yet reached</x:v>
      </x:c>
      <x:c r="N22" s="4" t="str">
        <x:v>HIGH</x:v>
      </x:c>
      <x:c r="O22" s="4" t="str">
        <x:v>REPORTED_ATTRIBUTION_ORIGINAL_TRANSCRIPT_NOT_CHECKED</x:v>
      </x:c>
      <x:c r="P22" s="4" t="n">
        <x:v>0</x:v>
      </x:c>
      <x:c r="Q22" s="4" t="str">
        <x:v>https://www.pressandappearances.com/solar-power-to-rule-in-20-years-futurists-say-2</x:v>
      </x:c>
      <x:c r="R22" s="4" t="str">
        <x:v>https://www.iea.org/reports/global-energy-review-2026/global-trends</x:v>
      </x:c>
    </x:row>
    <x:row r="23" ht="64" customHeight="1">
      <x:c r="A23" s="4" t="str">
        <x:v>K022</x:v>
      </x:c>
      <x:c r="B23" s="4" t="str">
        <x:v>The Singularity and billionfold intelligence expansion</x:v>
      </x:c>
      <x:c r="C23" s="4" t="str">
        <x:v>AI &amp; software</x:v>
      </x:c>
      <x:c r="D23" s="4" t="n">
        <x:v>2045</x:v>
      </x:c>
      <x:c r="E23" s="4" t="str">
        <x:v>NOT_DUE</x:v>
      </x:c>
      <x:c r="F23" s="4" t="str">
        <x:v>PARTLY_FULFILLED</x:v>
      </x:c>
      <x:c r="G23" s="4" t="str">
        <x:v>PENDING</x:v>
      </x:c>
      <x:c r="H23" s="4" t="str">
        <x:v>PENDING</x:v>
      </x:c>
      <x:c r="I23" s="4" t="str">
        <x:v>PENDING</x:v>
      </x:c>
      <x:c r="J23" s="4" t="n">
        <x:v>0</x:v>
      </x:c>
      <x:c r="K23" s="4"/>
      <x:c r="L23" s="4"/>
      <x:c r="M23" s="4" t="str">
        <x:v>Deadline not yet reached</x:v>
      </x:c>
      <x:c r="N23" s="4" t="str">
        <x:v>MEDIUM</x:v>
      </x:c>
      <x:c r="O23" s="4" t="str">
        <x:v>TEXT_CONFIRMED_IN_LISTED_SOURCE</x:v>
      </x:c>
      <x:c r="P23" s="4" t="n">
        <x:v>0</x:v>
      </x:c>
      <x:c r="Q23" s="4" t="str">
        <x:v>https://www.writingsbyraykurzweil.com/so-what-is-the-singularity</x:v>
      </x:c>
      <x:c r="R23" s="4" t="str">
        <x:v>https://arxiv.org/abs/2503.23674
https://www.writingsbyraykurzweil.com/so-what-is-the-singularity</x:v>
      </x:c>
    </x:row>
    <x:row r="24" ht="64" customHeight="1">
      <x:c r="A24" s="4" t="str">
        <x:v>K023</x:v>
      </x:c>
      <x:c r="B24" s="4" t="str">
        <x:v>The specific Kurzweil–Kapor Turing-test wager</x:v>
      </x:c>
      <x:c r="C24" s="4" t="str">
        <x:v>AI &amp; software</x:v>
      </x:c>
      <x:c r="D24" s="4" t="n">
        <x:v>2029</x:v>
      </x:c>
      <x:c r="E24" s="4" t="str">
        <x:v>NOT_DUE</x:v>
      </x:c>
      <x:c r="F24" s="4" t="str">
        <x:v>NOT_FULFILLED</x:v>
      </x:c>
      <x:c r="G24" s="4" t="str">
        <x:v>PENDING</x:v>
      </x:c>
      <x:c r="H24" s="4" t="str">
        <x:v>PENDING</x:v>
      </x:c>
      <x:c r="I24" s="4" t="str">
        <x:v>CORRECT</x:v>
      </x:c>
      <x:c r="J24" s="4" t="n">
        <x:v>0</x:v>
      </x:c>
      <x:c r="K24" s="4"/>
      <x:c r="L24" s="4"/>
      <x:c r="M24" s="4" t="str">
        <x:v>Deadline not yet reached</x:v>
      </x:c>
      <x:c r="N24" s="4" t="str">
        <x:v>HIGH</x:v>
      </x:c>
      <x:c r="O24" s="4" t="str">
        <x:v>TEXT_CONFIRMED_IN_LISTED_SOURCE</x:v>
      </x:c>
      <x:c r="P24" s="4" t="n">
        <x:v>0</x:v>
      </x:c>
      <x:c r="Q24" s="4" t="str">
        <x:v>https://longbets.org/1/</x:v>
      </x:c>
      <x:c r="R24" s="4" t="str">
        <x:v>https://longbets.org/1/
https://arxiv.org/abs/2503.23674</x:v>
      </x:c>
    </x:row>
    <x:row r="25" ht="64" customHeight="1">
      <x:c r="A25" s="4" t="str">
        <x:v>K024</x:v>
      </x:c>
      <x:c r="B25" s="4" t="str">
        <x:v>Bloodstream nanobots for scouting and limited repair</x:v>
      </x:c>
      <x:c r="C25" s="4" t="str">
        <x:v>Biology &amp; medicine</x:v>
      </x:c>
      <x:c r="D25" s="4" t="n">
        <x:v>2029</x:v>
      </x:c>
      <x:c r="E25" s="4" t="str">
        <x:v>NOT_DUE</x:v>
      </x:c>
      <x:c r="F25" s="4" t="str">
        <x:v>PARTLY_FULFILLED</x:v>
      </x:c>
      <x:c r="G25" s="4" t="str">
        <x:v>PENDING</x:v>
      </x:c>
      <x:c r="H25" s="4" t="str">
        <x:v>PENDING</x:v>
      </x:c>
      <x:c r="I25" s="4" t="str">
        <x:v>PENDING</x:v>
      </x:c>
      <x:c r="J25" s="4" t="n">
        <x:v>0</x:v>
      </x:c>
      <x:c r="K25" s="4"/>
      <x:c r="L25" s="4"/>
      <x:c r="M25" s="4" t="str">
        <x:v>Deadline not yet reached</x:v>
      </x:c>
      <x:c r="N25" s="4" t="str">
        <x:v>MEDIUM</x:v>
      </x:c>
      <x:c r="O25" s="4" t="str">
        <x:v>TEXT_CONFIRMED_IN_LISTED_SOURCE</x:v>
      </x:c>
      <x:c r="P25" s="4" t="n">
        <x:v>0</x:v>
      </x:c>
      <x:c r="Q25" s="4" t="str">
        <x:v>https://iranscope.ghandchi.com/Anthology/Kurzweil-SM.htm</x:v>
      </x:c>
      <x:c r="R25" s="4" t="str">
        <x:v>https://onlinelibrary.wiley.com/doi/10.1002/smb2.70030</x:v>
      </x:c>
    </x:row>
    <x:row r="26" ht="64" customHeight="1">
      <x:c r="A26" s="4" t="str">
        <x:v>K025</x:v>
      </x:c>
      <x:c r="B26" s="4" t="str">
        <x:v>A thousand-dollar brain-capacity computer in 2020</x:v>
      </x:c>
      <x:c r="C26" s="4" t="str">
        <x:v>Computing hardware</x:v>
      </x:c>
      <x:c r="D26" s="4" t="n">
        <x:v>2020</x:v>
      </x:c>
      <x:c r="E26" s="4" t="str">
        <x:v>NOT_FULFILLED</x:v>
      </x:c>
      <x:c r="F26" s="4" t="str">
        <x:v>NOT_FULFILLED</x:v>
      </x:c>
      <x:c r="G26" s="4" t="str">
        <x:v>WRONG</x:v>
      </x:c>
      <x:c r="H26" s="4" t="str">
        <x:v>WRONG</x:v>
      </x:c>
      <x:c r="I26" s="4" t="str">
        <x:v>PARTIAL</x:v>
      </x:c>
      <x:c r="J26" s="4" t="n">
        <x:v>1</x:v>
      </x:c>
      <x:c r="K26" s="4"/>
      <x:c r="L26" s="4"/>
      <x:c r="M26" s="4" t="str">
        <x:v>Not fully realized by 2026-10-15; overdue, not an observed delay</x:v>
      </x:c>
      <x:c r="N26" s="4" t="str">
        <x:v>HIGH</x:v>
      </x:c>
      <x:c r="O26" s="4" t="str">
        <x:v>TEXT_CONFIRMED_IN_LISTED_SOURCE</x:v>
      </x:c>
      <x:c r="P26" s="4" t="n">
        <x:v>0</x:v>
      </x:c>
      <x:c r="Q26" s="4" t="str">
        <x:v>https://www.writingsbyraykurzweil.com/so-what-is-the-singularity</x:v>
      </x:c>
      <x:c r="R26" s="4" t="str">
        <x:v>https://www.writingsbyraykurzweil.com/so-what-is-the-singularity
https://www.nvidia.com/en-us/geforce/news/introducing-rtx-30-series-graphics-cards/
https://www.nvidia.com/en-us/geforce/graphics-cards/50-series/rtx-5080/
https://investor.nvidia.com/news/press-release-details/2025/NVIDIA-Blackwell-GeForce-RTX-50-Series-Opens-New-World-of-AI-Computer-Graphics/default.aspx</x:v>
      </x:c>
    </x:row>
    <x:row r="27" ht="64" customHeight="1">
      <x:c r="A27" s="4" t="str">
        <x:v>K026</x:v>
      </x:c>
      <x:c r="B27" s="4" t="str">
        <x:v>Automated intelligent highways</x:v>
      </x:c>
      <x:c r="C27" s="4" t="str">
        <x:v>Robotics &amp; transportation</x:v>
      </x:c>
      <x:c r="D27" s="4" t="n">
        <x:v>2009</x:v>
      </x:c>
      <x:c r="E27" s="4" t="str">
        <x:v>NOT_FULFILLED</x:v>
      </x:c>
      <x:c r="F27" s="4" t="str">
        <x:v>PARTLY_FULFILLED</x:v>
      </x:c>
      <x:c r="G27" s="4" t="str">
        <x:v>PARTIAL</x:v>
      </x:c>
      <x:c r="H27" s="4" t="str">
        <x:v>PARTIAL</x:v>
      </x:c>
      <x:c r="I27" s="4" t="str">
        <x:v>LATE</x:v>
      </x:c>
      <x:c r="J27" s="4" t="n">
        <x:v>1</x:v>
      </x:c>
      <x:c r="K27" s="4"/>
      <x:c r="L27" s="4"/>
      <x:c r="M27" s="4" t="str">
        <x:v>Not fully realized by 2026-10-15; overdue, not an observed delay</x:v>
      </x:c>
      <x:c r="N27" s="4" t="str">
        <x:v>MEDIUM</x:v>
      </x:c>
      <x:c r="O27" s="4" t="str">
        <x:v>TEXT_CONFIRMED_IN_LISTED_SOURCE</x:v>
      </x:c>
      <x:c r="P27" s="4" t="n">
        <x:v>0</x:v>
      </x:c>
      <x:c r="Q27" s="4" t="str">
        <x:v>https://www.thekurzweillibrary.com/images/How-My-Predictions-Are-Faring.pdf</x:v>
      </x:c>
      <x:c r="R27" s="4" t="str">
        <x:v>https://news.cornell.edu/stories/2007/11/cornell-meets-darpa-urban-challenge
https://waymo.com/blog/2020/10/waymo-is-opening-its-fully-driverless-service-in-phoenix/
https://www.nhtsa.gov/vehicle-safety/automated-vehicle-safety</x:v>
      </x:c>
    </x:row>
    <x:row r="28" ht="64" customHeight="1">
      <x:c r="A28" s="4" t="str">
        <x:v>K027</x:v>
      </x:c>
      <x:c r="B28" s="4" t="str">
        <x:v>Life expectancy over 100</x:v>
      </x:c>
      <x:c r="C28" s="4" t="str">
        <x:v>Longevity</x:v>
      </x:c>
      <x:c r="D28" s="4" t="n">
        <x:v>2019</x:v>
      </x:c>
      <x:c r="E28" s="4" t="str">
        <x:v>NOT_FULFILLED</x:v>
      </x:c>
      <x:c r="F28" s="4" t="str">
        <x:v>NOT_FULFILLED</x:v>
      </x:c>
      <x:c r="G28" s="4" t="str">
        <x:v>WRONG</x:v>
      </x:c>
      <x:c r="H28" s="4" t="str">
        <x:v>WRONG</x:v>
      </x:c>
      <x:c r="I28" s="4" t="str">
        <x:v>WRONG</x:v>
      </x:c>
      <x:c r="J28" s="4" t="n">
        <x:v>1</x:v>
      </x:c>
      <x:c r="K28" s="4"/>
      <x:c r="L28" s="4"/>
      <x:c r="M28" s="4" t="str">
        <x:v>Not fully realized by 2026-10-15; overdue, not an observed delay</x:v>
      </x:c>
      <x:c r="N28" s="4" t="str">
        <x:v>HIGH</x:v>
      </x:c>
      <x:c r="O28" s="4" t="str">
        <x:v>TEXT_CONFIRMED_IN_LISTED_SOURCE</x:v>
      </x:c>
      <x:c r="P28" s="4" t="n">
        <x:v>0</x:v>
      </x:c>
      <x:c r="Q28" s="4" t="str">
        <x:v>https://iranscope.ghandchi.com/Anthology/Kurzweil-SM.htm</x:v>
      </x:c>
      <x:c r="R28" s="4" t="str">
        <x:v>https://www.cdc.gov/nchs/products/databriefs/db395.htm
https://www.cdc.gov/nchs/products/databriefs/db548.htm</x:v>
      </x:c>
    </x:row>
    <x:row r="29" ht="64" customHeight="1">
      <x:c r="A29" s="4" t="str">
        <x:v>K028</x:v>
      </x:c>
      <x:c r="B29" s="4" t="str">
        <x:v>Life expectancy reaches 120</x:v>
      </x:c>
      <x:c r="C29" s="4" t="str">
        <x:v>Longevity</x:v>
      </x:c>
      <x:c r="D29" s="4" t="n">
        <x:v>2029</x:v>
      </x:c>
      <x:c r="E29" s="4" t="str">
        <x:v>NOT_DUE</x:v>
      </x:c>
      <x:c r="F29" s="4" t="str">
        <x:v>NOT_FULFILLED</x:v>
      </x:c>
      <x:c r="G29" s="4" t="str">
        <x:v>PENDING</x:v>
      </x:c>
      <x:c r="H29" s="4" t="str">
        <x:v>PENDING</x:v>
      </x:c>
      <x:c r="I29" s="4" t="str">
        <x:v>PENDING</x:v>
      </x:c>
      <x:c r="J29" s="4" t="n">
        <x:v>0</x:v>
      </x:c>
      <x:c r="K29" s="4"/>
      <x:c r="L29" s="4"/>
      <x:c r="M29" s="4" t="str">
        <x:v>Deadline not yet reached</x:v>
      </x:c>
      <x:c r="N29" s="4" t="str">
        <x:v>HIGH</x:v>
      </x:c>
      <x:c r="O29" s="4" t="str">
        <x:v>TEXT_CONFIRMED_IN_LISTED_SOURCE</x:v>
      </x:c>
      <x:c r="P29" s="4" t="n">
        <x:v>0</x:v>
      </x:c>
      <x:c r="Q29" s="4" t="str">
        <x:v>https://iranscope.ghandchi.com/Anthology/Kurzweil-SM.htm</x:v>
      </x:c>
      <x:c r="R29" s="4" t="str">
        <x:v>https://www.cdc.gov/nchs/products/databriefs/db548.htm</x:v>
      </x:c>
    </x:row>
    <x:row r="30" ht="64" customHeight="1">
      <x:c r="A30" s="4" t="str">
        <x:v>K029</x:v>
      </x:c>
      <x:c r="B30" s="4" t="str">
        <x:v>Gesture and spoken language become dominant input</x:v>
      </x:c>
      <x:c r="C30" s="4" t="str">
        <x:v>AI &amp; software</x:v>
      </x:c>
      <x:c r="D30" s="4" t="n">
        <x:v>2019</x:v>
      </x:c>
      <x:c r="E30" s="4" t="str">
        <x:v>PARTLY_FULFILLED</x:v>
      </x:c>
      <x:c r="F30" s="4" t="str">
        <x:v>PARTLY_FULFILLED</x:v>
      </x:c>
      <x:c r="G30" s="4" t="str">
        <x:v>PARTIAL</x:v>
      </x:c>
      <x:c r="H30" s="4" t="str">
        <x:v>PARTIAL</x:v>
      </x:c>
      <x:c r="I30" s="4" t="str">
        <x:v>CORRECT</x:v>
      </x:c>
      <x:c r="J30" s="4" t="n">
        <x:v>1</x:v>
      </x:c>
      <x:c r="K30" s="4"/>
      <x:c r="L30" s="4"/>
      <x:c r="M30" s="4" t="str">
        <x:v>Not fully realized by 2026-10-15; overdue, not an observed delay</x:v>
      </x:c>
      <x:c r="N30" s="4" t="str">
        <x:v>MEDIUM</x:v>
      </x:c>
      <x:c r="O30" s="4" t="str">
        <x:v>TEXT_CONFIRMED_IN_LISTED_SOURCE</x:v>
      </x:c>
      <x:c r="P30" s="4" t="n">
        <x:v>0</x:v>
      </x:c>
      <x:c r="Q30" s="4" t="str">
        <x:v>https://iranscope.ghandchi.com/Anthology/Kurzweil-SM.htm</x:v>
      </x:c>
      <x:c r="R30" s="4" t="str">
        <x:v>https://www.apple.com/newsroom/2011/10/04Apple-Launches-iPhone-4S-iOS-5-iCloud/
https://www.pressebox.com/pressrelease/gartner-uk-ltd/Gartner-Says-Annual-Smartphone-Sales-Surpassed-Sales-of-Feature-Phones-for-the-First-Time-in-2013/boxid/658123
https://www.microsoft.com/en-us/microsoft-365/blog/2019/07/11/microsoft-teams-reaches-13-million-daily-active-users-introduces-4-new-ways-for-teams-to-work-better-together/</x:v>
      </x:c>
    </x:row>
    <x:row r="31" ht="64" customHeight="1">
      <x:c r="A31" s="4" t="str">
        <x:v>K030</x:v>
      </x:c>
      <x:c r="B31" s="4" t="str">
        <x:v>Routine high-acuity retinal displays</x:v>
      </x:c>
      <x:c r="C31" s="4" t="str">
        <x:v>Interfaces &amp; virtual worlds</x:v>
      </x:c>
      <x:c r="D31" s="4" t="n">
        <x:v>2019</x:v>
      </x:c>
      <x:c r="E31" s="4" t="str">
        <x:v>PARTLY_FULFILLED</x:v>
      </x:c>
      <x:c r="F31" s="4" t="str">
        <x:v>PARTLY_FULFILLED</x:v>
      </x:c>
      <x:c r="G31" s="4" t="str">
        <x:v>PARTIAL</x:v>
      </x:c>
      <x:c r="H31" s="4" t="str">
        <x:v>PARTIAL</x:v>
      </x:c>
      <x:c r="I31" s="4" t="str">
        <x:v>CORRECT</x:v>
      </x:c>
      <x:c r="J31" s="4" t="n">
        <x:v>1</x:v>
      </x:c>
      <x:c r="K31" s="4"/>
      <x:c r="L31" s="4"/>
      <x:c r="M31" s="4" t="str">
        <x:v>Not fully realized by 2026-10-15; overdue, not an observed delay</x:v>
      </x:c>
      <x:c r="N31" s="4" t="str">
        <x:v>MEDIUM</x:v>
      </x:c>
      <x:c r="O31" s="4" t="str">
        <x:v>TEXT_CONFIRMED_IN_LISTED_SOURCE</x:v>
      </x:c>
      <x:c r="P31" s="4" t="n">
        <x:v>0</x:v>
      </x:c>
      <x:c r="Q31" s="4" t="str">
        <x:v>https://iranscope.ghandchi.com/Anthology/Kurzweil-SM.htm</x:v>
      </x:c>
      <x:c r="R31" s="4" t="str">
        <x:v>https://www.theautochannel.com/news/2004/08/10/208323.html
https://www.qualcomm.com/news/releases/2019/05/qualcomm-snapdragon-mobile-vr-platform-powers-oculus-quest</x:v>
      </x:c>
    </x:row>
    <x:row r="32" ht="64" customHeight="1">
      <x:c r="A32" s="4" t="str">
        <x:v>K031</x:v>
      </x:c>
      <x:c r="B32" s="4" t="str">
        <x:v>Convincing full-body tactile virtual reality</x:v>
      </x:c>
      <x:c r="C32" s="4" t="str">
        <x:v>Interfaces &amp; virtual worlds</x:v>
      </x:c>
      <x:c r="D32" s="4" t="n">
        <x:v>2019</x:v>
      </x:c>
      <x:c r="E32" s="4" t="str">
        <x:v>NOT_FULFILLED</x:v>
      </x:c>
      <x:c r="F32" s="4" t="str">
        <x:v>NOT_FULFILLED</x:v>
      </x:c>
      <x:c r="G32" s="4" t="str">
        <x:v>WRONG</x:v>
      </x:c>
      <x:c r="H32" s="4" t="str">
        <x:v>WRONG</x:v>
      </x:c>
      <x:c r="I32" s="4" t="str">
        <x:v>PARTIAL</x:v>
      </x:c>
      <x:c r="J32" s="4" t="n">
        <x:v>1</x:v>
      </x:c>
      <x:c r="K32" s="4"/>
      <x:c r="L32" s="4"/>
      <x:c r="M32" s="4" t="str">
        <x:v>Not fully realized by 2026-10-15; overdue, not an observed delay</x:v>
      </x:c>
      <x:c r="N32" s="4" t="str">
        <x:v>HIGH</x:v>
      </x:c>
      <x:c r="O32" s="4" t="str">
        <x:v>TEXT_CONFIRMED_IN_LISTED_SOURCE</x:v>
      </x:c>
      <x:c r="P32" s="4" t="n">
        <x:v>0</x:v>
      </x:c>
      <x:c r="Q32" s="4" t="str">
        <x:v>https://iranscope.ghandchi.com/Anthology/Kurzweil-SM.htm</x:v>
      </x:c>
      <x:c r="R32" s="4" t="str">
        <x:v>https://arxiv.org/abs/2508.20831</x:v>
      </x:c>
    </x:row>
    <x:row r="33" ht="64" customHeight="1">
      <x:c r="A33" s="4" t="str">
        <x:v>K032</x:v>
      </x:c>
      <x:c r="B33" s="4" t="str">
        <x:v>High-bandwidth neural interfaces augment brain functions</x:v>
      </x:c>
      <x:c r="C33" s="4" t="str">
        <x:v>Neuroscience &amp; human augmentation</x:v>
      </x:c>
      <x:c r="D33" s="4" t="n">
        <x:v>2029</x:v>
      </x:c>
      <x:c r="E33" s="4" t="str">
        <x:v>NOT_DUE</x:v>
      </x:c>
      <x:c r="F33" s="4" t="str">
        <x:v>PARTLY_FULFILLED</x:v>
      </x:c>
      <x:c r="G33" s="4" t="str">
        <x:v>PENDING</x:v>
      </x:c>
      <x:c r="H33" s="4" t="str">
        <x:v>PENDING</x:v>
      </x:c>
      <x:c r="I33" s="4" t="str">
        <x:v>PENDING</x:v>
      </x:c>
      <x:c r="J33" s="4" t="n">
        <x:v>0</x:v>
      </x:c>
      <x:c r="K33" s="4"/>
      <x:c r="L33" s="4"/>
      <x:c r="M33" s="4" t="str">
        <x:v>Deadline not yet reached</x:v>
      </x:c>
      <x:c r="N33" s="4" t="str">
        <x:v>MEDIUM</x:v>
      </x:c>
      <x:c r="O33" s="4" t="str">
        <x:v>TEXT_CONFIRMED_IN_LISTED_SOURCE</x:v>
      </x:c>
      <x:c r="P33" s="4" t="n">
        <x:v>0</x:v>
      </x:c>
      <x:c r="Q33" s="4" t="str">
        <x:v>https://iranscope.ghandchi.com/Anthology/Kurzweil-SM.htm</x:v>
      </x:c>
      <x:c r="R33" s="4" t="str">
        <x:v>https://www.fda.gov/medical-devices/cochlear-implants/what-educators-need-know
https://www.nimh.nih.gov/news/science-updates/2023/scientists-unveil-complete-cell-map-of-a-whole-mammalian-brain
https://www.nature.com/articles/s41586-024-07686-5</x:v>
      </x:c>
    </x:row>
    <x:row r="34" ht="64" customHeight="1">
      <x:c r="A34" s="4" t="str">
        <x:v>K033</x:v>
      </x:c>
      <x:c r="B34" s="4" t="str">
        <x:v>Supercomputers reach 20 quadrillion calculations per second</x:v>
      </x:c>
      <x:c r="C34" s="4" t="str">
        <x:v>Computing hardware</x:v>
      </x:c>
      <x:c r="D34" s="4" t="n">
        <x:v>2009</x:v>
      </x:c>
      <x:c r="E34" s="4" t="str">
        <x:v>NOT_FULFILLED</x:v>
      </x:c>
      <x:c r="F34" s="4" t="str">
        <x:v>FULFILLED</x:v>
      </x:c>
      <x:c r="G34" s="4" t="str">
        <x:v>LATE</x:v>
      </x:c>
      <x:c r="H34" s="4" t="str">
        <x:v>LATE</x:v>
      </x:c>
      <x:c r="I34" s="4" t="str">
        <x:v>LATE</x:v>
      </x:c>
      <x:c r="J34" s="4" t="n">
        <x:v>1</x:v>
      </x:c>
      <x:c r="K34" s="4" t="n">
        <x:v>2013</x:v>
      </x:c>
      <x:c r="L34" s="4"/>
      <x:c r="M34" s="4" t="str">
        <x:v>2013; +4 years</x:v>
      </x:c>
      <x:c r="N34" s="4" t="str">
        <x:v>HIGH</x:v>
      </x:c>
      <x:c r="O34" s="4" t="str">
        <x:v>TEXT_CONFIRMED_IN_LISTED_SOURCE</x:v>
      </x:c>
      <x:c r="P34" s="4" t="n">
        <x:v>0</x:v>
      </x:c>
      <x:c r="Q34" s="4" t="str">
        <x:v>https://iranscope.ghandchi.com/Anthology/Kurzweil-SM.htm</x:v>
      </x:c>
      <x:c r="R34" s="4" t="str">
        <x:v>https://www.top500.org/lists/top500/2009/11/
https://www.top500.org/lists/top500/2012/11/
https://www.top500.org/lists/top500/2013/06/highlights/</x:v>
      </x:c>
    </x:row>
    <x:row r="35" ht="64" customHeight="1">
      <x:c r="A35" s="4" t="str">
        <x:v>K034</x:v>
      </x:c>
      <x:c r="B35" s="4" t="str">
        <x:v>The 2019 thousand-dollar brain-compute estimate</x:v>
      </x:c>
      <x:c r="C35" s="4" t="str">
        <x:v>Computing hardware</x:v>
      </x:c>
      <x:c r="D35" s="4" t="n">
        <x:v>2019</x:v>
      </x:c>
      <x:c r="E35" s="4" t="str">
        <x:v>NOT_FULFILLED</x:v>
      </x:c>
      <x:c r="F35" s="4" t="str">
        <x:v>NOT_FULFILLED</x:v>
      </x:c>
      <x:c r="G35" s="4" t="str">
        <x:v>WRONG</x:v>
      </x:c>
      <x:c r="H35" s="4" t="str">
        <x:v>WRONG</x:v>
      </x:c>
      <x:c r="I35" s="4" t="str">
        <x:v>WRONG</x:v>
      </x:c>
      <x:c r="J35" s="4" t="n">
        <x:v>1</x:v>
      </x:c>
      <x:c r="K35" s="4"/>
      <x:c r="L35" s="4"/>
      <x:c r="M35" s="4" t="str">
        <x:v>Not fully realized by 2026-10-15; overdue, not an observed delay</x:v>
      </x:c>
      <x:c r="N35" s="4" t="str">
        <x:v>HIGH</x:v>
      </x:c>
      <x:c r="O35" s="4" t="str">
        <x:v>TEXT_CONFIRMED_IN_LISTED_SOURCE</x:v>
      </x:c>
      <x:c r="P35" s="4" t="n">
        <x:v>0</x:v>
      </x:c>
      <x:c r="Q35" s="4" t="str">
        <x:v>https://iranscope.ghandchi.com/Anthology/Kurzweil-SM.htm</x:v>
      </x:c>
      <x:c r="R35" s="4" t="str">
        <x:v>https://www.nvidia.com/en-us/geforce/news/introducing-rtx-30-series-graphics-cards/
https://www.nvidia.com/en-us/geforce/graphics-cards/50-series/rtx-5080/
https://investor.nvidia.com/news/press-release-details/2025/NVIDIA-Blackwell-GeForce-RTX-50-Series-Opens-New-World-of-AI-Computer-Graphics/default.aspx</x:v>
      </x:c>
    </x:row>
    <x:row r="36" ht="64" customHeight="1">
      <x:c r="A36" s="4" t="str">
        <x:v>K035</x:v>
      </x:c>
      <x:c r="B36" s="4" t="str">
        <x:v>Thousand-brain computation for a thousand dollars</x:v>
      </x:c>
      <x:c r="C36" s="4" t="str">
        <x:v>Computing hardware</x:v>
      </x:c>
      <x:c r="D36" s="4" t="n">
        <x:v>2029</x:v>
      </x:c>
      <x:c r="E36" s="4" t="str">
        <x:v>NOT_DUE</x:v>
      </x:c>
      <x:c r="F36" s="4" t="str">
        <x:v>NOT_FULFILLED</x:v>
      </x:c>
      <x:c r="G36" s="4" t="str">
        <x:v>PENDING</x:v>
      </x:c>
      <x:c r="H36" s="4" t="str">
        <x:v>PENDING</x:v>
      </x:c>
      <x:c r="I36" s="4" t="str">
        <x:v>PENDING</x:v>
      </x:c>
      <x:c r="J36" s="4" t="n">
        <x:v>0</x:v>
      </x:c>
      <x:c r="K36" s="4"/>
      <x:c r="L36" s="4"/>
      <x:c r="M36" s="4" t="str">
        <x:v>Deadline not yet reached</x:v>
      </x:c>
      <x:c r="N36" s="4" t="str">
        <x:v>HIGH</x:v>
      </x:c>
      <x:c r="O36" s="4" t="str">
        <x:v>TEXT_CONFIRMED_IN_LISTED_SOURCE</x:v>
      </x:c>
      <x:c r="P36" s="4" t="n">
        <x:v>0</x:v>
      </x:c>
      <x:c r="Q36" s="4" t="str">
        <x:v>https://iranscope.ghandchi.com/Anthology/Kurzweil-SM.htm</x:v>
      </x:c>
      <x:c r="R36" s="4" t="str">
        <x:v>https://www.nvidia.com/en-us/geforce/graphics-cards/50-series/rtx-5080/
https://investor.nvidia.com/news/press-release-details/2025/NVIDIA-Blackwell-GeForce-RTX-50-Series-Opens-New-World-of-AI-Computer-Graphics/default.aspx</x:v>
      </x:c>
    </x:row>
    <x:row r="37" ht="64" customHeight="1">
      <x:c r="A37" s="4" t="str">
        <x:v>K036</x:v>
      </x:c>
      <x:c r="B37" s="4" t="str">
        <x:v>Effective models of all brain regions</x:v>
      </x:c>
      <x:c r="C37" s="4" t="str">
        <x:v>Neuroscience &amp; human augmentation</x:v>
      </x:c>
      <x:c r="D37" s="4" t="n">
        <x:v>2025</x:v>
      </x:c>
      <x:c r="E37" s="4" t="str">
        <x:v>PARTLY_FULFILLED</x:v>
      </x:c>
      <x:c r="F37" s="4" t="str">
        <x:v>PARTLY_FULFILLED</x:v>
      </x:c>
      <x:c r="G37" s="4" t="str">
        <x:v>PARTIAL</x:v>
      </x:c>
      <x:c r="H37" s="4" t="str">
        <x:v>PENDING</x:v>
      </x:c>
      <x:c r="I37" s="4" t="str">
        <x:v>PARTIAL</x:v>
      </x:c>
      <x:c r="J37" s="4" t="n">
        <x:v>1</x:v>
      </x:c>
      <x:c r="K37" s="4"/>
      <x:c r="L37" s="4"/>
      <x:c r="M37" s="4" t="str">
        <x:v>Not fully realized by 2026-10-15; overdue, not an observed delay</x:v>
      </x:c>
      <x:c r="N37" s="4" t="str">
        <x:v>MEDIUM</x:v>
      </x:c>
      <x:c r="O37" s="4" t="str">
        <x:v>TEXT_CONFIRMED_IN_LISTED_SOURCE</x:v>
      </x:c>
      <x:c r="P37" s="4" t="n">
        <x:v>0</x:v>
      </x:c>
      <x:c r="Q37" s="4" t="str">
        <x:v>https://www.writingsbyraykurzweil.com/so-what-is-the-singularity</x:v>
      </x:c>
      <x:c r="R37" s="4" t="str">
        <x:v>https://www.nimh.nih.gov/news/science-updates/2023/scientists-unveil-complete-cell-map-of-a-whole-mammalian-brain
https://www.nature.com/articles/s41586-024-07686-5
https://www.nature.com/articles/nature18933</x:v>
      </x:c>
    </x:row>
    <x:row r="38" ht="64" customHeight="1">
      <x:c r="A38" s="4" t="str">
        <x:v>K037</x:v>
      </x:c>
      <x:c r="B38" s="4" t="str">
        <x:v>Developed-world universal basic income</x:v>
      </x:c>
      <x:c r="C38" s="4" t="str">
        <x:v>Economy &amp; society</x:v>
      </x:c>
      <x:c r="D38" s="4" t="n">
        <x:v>2033</x:v>
      </x:c>
      <x:c r="E38" s="4" t="str">
        <x:v>NOT_DUE</x:v>
      </x:c>
      <x:c r="F38" s="4" t="str">
        <x:v>PARTLY_FULFILLED</x:v>
      </x:c>
      <x:c r="G38" s="4" t="str">
        <x:v>PENDING</x:v>
      </x:c>
      <x:c r="H38" s="4" t="str">
        <x:v>PENDING</x:v>
      </x:c>
      <x:c r="I38" s="4" t="str">
        <x:v>PENDING</x:v>
      </x:c>
      <x:c r="J38" s="4" t="n">
        <x:v>0</x:v>
      </x:c>
      <x:c r="K38" s="4"/>
      <x:c r="L38" s="4"/>
      <x:c r="M38" s="4" t="str">
        <x:v>Deadline not yet reached</x:v>
      </x:c>
      <x:c r="N38" s="4" t="str">
        <x:v>MEDIUM</x:v>
      </x:c>
      <x:c r="O38" s="4" t="str">
        <x:v>REPORTED_ATTRIBUTION_ORIGINAL_TRANSCRIPT_NOT_CHECKED</x:v>
      </x:c>
      <x:c r="P38" s="4" t="n">
        <x:v>0</x:v>
      </x:c>
      <x:c r="Q38" s="4" t="str">
        <x:v>https://www.axios.com/2018/04/13/ray-kurzweil-universal-basic-income-will-arrive-in-the-2030s-1523655832</x:v>
      </x:c>
      <x:c r="R38" s="4" t="str">
        <x:v>https://www.axios.com/2018/04/13/ray-kurzweil-universal-basic-income-will-arrive-in-the-2030s-1523655832</x:v>
      </x:c>
    </x:row>
    <x:row r="39" ht="64" customHeight="1">
      <x:c r="A39" s="4" t="str">
        <x:v>K038</x:v>
      </x:c>
      <x:c r="B39" s="4" t="str">
        <x:v>Worldwide universal basic income</x:v>
      </x:c>
      <x:c r="C39" s="4" t="str">
        <x:v>Economy &amp; society</x:v>
      </x:c>
      <x:c r="D39" s="4" t="n">
        <x:v>2039</x:v>
      </x:c>
      <x:c r="E39" s="4" t="str">
        <x:v>NOT_DUE</x:v>
      </x:c>
      <x:c r="F39" s="4" t="str">
        <x:v>PARTLY_FULFILLED</x:v>
      </x:c>
      <x:c r="G39" s="4" t="str">
        <x:v>PENDING</x:v>
      </x:c>
      <x:c r="H39" s="4" t="str">
        <x:v>PENDING</x:v>
      </x:c>
      <x:c r="I39" s="4" t="str">
        <x:v>PENDING</x:v>
      </x:c>
      <x:c r="J39" s="4" t="n">
        <x:v>0</x:v>
      </x:c>
      <x:c r="K39" s="4"/>
      <x:c r="L39" s="4"/>
      <x:c r="M39" s="4" t="str">
        <x:v>Deadline not yet reached</x:v>
      </x:c>
      <x:c r="N39" s="4" t="str">
        <x:v>MEDIUM</x:v>
      </x:c>
      <x:c r="O39" s="4" t="str">
        <x:v>REPORTED_ATTRIBUTION_ORIGINAL_TRANSCRIPT_NOT_CHECKED</x:v>
      </x:c>
      <x:c r="P39" s="4" t="n">
        <x:v>0</x:v>
      </x:c>
      <x:c r="Q39" s="4" t="str">
        <x:v>https://www.axios.com/2018/04/13/ray-kurzweil-universal-basic-income-will-arrive-in-the-2030s-1523655832</x:v>
      </x:c>
      <x:c r="R39" s="4" t="str">
        <x:v>https://www.axios.com/2018/04/13/ray-kurzweil-universal-basic-income-will-arrive-in-the-2030s-1523655832</x:v>
      </x:c>
    </x:row>
    <x:row r="40" ht="64" customHeight="1">
      <x:c r="A40" s="4" t="str">
        <x:v>K039</x:v>
      </x:c>
      <x:c r="B40" s="4" t="str">
        <x:v>Nonlinear electronic documents</x:v>
      </x:c>
      <x:c r="C40" s="4" t="str">
        <x:v>Media, education &amp; culture</x:v>
      </x:c>
      <x:c r="D40" s="4"/>
      <x:c r="E40" s="4" t="str">
        <x:v>UNDATED</x:v>
      </x:c>
      <x:c r="F40" s="4" t="str">
        <x:v>FULFILLED</x:v>
      </x:c>
      <x:c r="G40" s="4" t="str">
        <x:v>CORRECT</x:v>
      </x:c>
      <x:c r="H40" s="4" t="str">
        <x:v>CORRECT</x:v>
      </x:c>
      <x:c r="I40" s="4" t="str">
        <x:v>CORRECT</x:v>
      </x:c>
      <x:c r="J40" s="4" t="n">
        <x:v>0</x:v>
      </x:c>
      <x:c r="K40" s="4"/>
      <x:c r="L40" s="4" t="n">
        <x:v>1993</x:v>
      </x:c>
      <x:c r="M40" s="4" t="str">
        <x:v>Documented by 1993</x:v>
      </x:c>
      <x:c r="N40" s="4" t="str">
        <x:v>HIGH</x:v>
      </x:c>
      <x:c r="O40" s="4" t="str">
        <x:v>TEXT_CONFIRMED_IN_LISTED_SOURCE</x:v>
      </x:c>
      <x:c r="P40" s="4" t="n">
        <x:v>0</x:v>
      </x:c>
      <x:c r="Q40" s="4" t="str">
        <x:v>https://www.thekurzweillibrary.com/images/How-My-Predictions-Are-Faring.pdf</x:v>
      </x:c>
      <x:c r="R40" s="4" t="str">
        <x:v>https://home.cern/science/computing/the-birth-of-the-web/</x:v>
      </x:c>
    </x:row>
    <x:row r="41" ht="64" customHeight="1">
      <x:c r="A41" s="4" t="str">
        <x:v>K040</x:v>
      </x:c>
      <x:c r="B41" s="4" t="str">
        <x:v>Information technology pressures authoritarian control</x:v>
      </x:c>
      <x:c r="C41" s="4" t="str">
        <x:v>Economy &amp; society</x:v>
      </x:c>
      <x:c r="D41" s="4"/>
      <x:c r="E41" s="4" t="str">
        <x:v>UNDATED</x:v>
      </x:c>
      <x:c r="F41" s="4" t="str">
        <x:v>PARTLY_FULFILLED</x:v>
      </x:c>
      <x:c r="G41" s="4" t="str">
        <x:v>PARTIAL</x:v>
      </x:c>
      <x:c r="H41" s="4" t="str">
        <x:v>PARTIAL</x:v>
      </x:c>
      <x:c r="I41" s="4" t="str">
        <x:v>PARTIAL</x:v>
      </x:c>
      <x:c r="J41" s="4" t="n">
        <x:v>0</x:v>
      </x:c>
      <x:c r="K41" s="4"/>
      <x:c r="L41" s="4"/>
      <x:c r="M41" s="4" t="str">
        <x:v>Undated forecast; current outcome assessed without timing credit</x:v>
      </x:c>
      <x:c r="N41" s="4" t="str">
        <x:v>MEDIUM</x:v>
      </x:c>
      <x:c r="O41" s="4" t="str">
        <x:v>TEXT_CONFIRMED_IN_LISTED_SOURCE</x:v>
      </x:c>
      <x:c r="P41" s="4" t="n">
        <x:v>0</x:v>
      </x:c>
      <x:c r="Q41" s="4" t="str">
        <x:v>https://www.thekurzweillibrary.com/images/How-My-Predictions-Are-Faring.pdf</x:v>
      </x:c>
      <x:c r="R41" s="4" t="str">
        <x:v>https://freedomhouse.org/article/new-report-persistent-authoritarian-repression-and-backsliding-democracies-drive-15th</x:v>
      </x:c>
    </x:row>
    <x:row r="42" ht="64" customHeight="1">
      <x:c r="A42" s="4" t="str">
        <x:v>K041</x:v>
      </x:c>
      <x:c r="B42" s="4" t="str">
        <x:v>Wearable diagnosis and health intervention</x:v>
      </x:c>
      <x:c r="C42" s="4" t="str">
        <x:v>Biology &amp; medicine</x:v>
      </x:c>
      <x:c r="D42" s="4" t="n">
        <x:v>2019</x:v>
      </x:c>
      <x:c r="E42" s="4" t="str">
        <x:v>FULFILLED</x:v>
      </x:c>
      <x:c r="F42" s="4" t="str">
        <x:v>FULFILLED</x:v>
      </x:c>
      <x:c r="G42" s="4" t="str">
        <x:v>CORRECT</x:v>
      </x:c>
      <x:c r="H42" s="4" t="str">
        <x:v>CORRECT</x:v>
      </x:c>
      <x:c r="I42" s="4" t="str">
        <x:v>CORRECT</x:v>
      </x:c>
      <x:c r="J42" s="4" t="n">
        <x:v>1</x:v>
      </x:c>
      <x:c r="K42" s="4"/>
      <x:c r="L42" s="4" t="n">
        <x:v>2019</x:v>
      </x:c>
      <x:c r="M42" s="4" t="str">
        <x:v>Documented by 2019</x:v>
      </x:c>
      <x:c r="N42" s="4" t="str">
        <x:v>MEDIUM</x:v>
      </x:c>
      <x:c r="O42" s="4" t="str">
        <x:v>TEXT_CONFIRMED_IN_LISTED_SOURCE</x:v>
      </x:c>
      <x:c r="P42" s="4" t="n">
        <x:v>0</x:v>
      </x:c>
      <x:c r="Q42" s="4" t="str">
        <x:v>https://iranscope.ghandchi.com/Anthology/Kurzweil-SM.htm</x:v>
      </x:c>
      <x:c r="R42" s="4" t="str">
        <x:v>https://www.apple.com/newsroom/2018/12/ecg-app-and-irregular-heart-rhythm-notification-available-today-on-apple-watch/
https://www.apple.com/newsroom/2018/09/redesigned-apple-watch-series-4-revolutionizes-communication-fitness-and-health/
https://www.pewresearch.org/short-reads/2020/01/09/about-one-in-five-americans-use-a-smart-watch-or-fitness-tracker/</x:v>
      </x:c>
    </x:row>
    <x:row r="43" ht="64" customHeight="1">
      <x:c r="A43" s="4" t="str">
        <x:v>K042</x:v>
      </x:c>
      <x:c r="B43" s="4" t="str">
        <x:v>Longevity escape velocity</x:v>
      </x:c>
      <x:c r="C43" s="4" t="str">
        <x:v>Longevity</x:v>
      </x:c>
      <x:c r="D43" s="4" t="n">
        <x:v>2029</x:v>
      </x:c>
      <x:c r="E43" s="4" t="str">
        <x:v>NOT_DUE</x:v>
      </x:c>
      <x:c r="F43" s="4" t="str">
        <x:v>PARTLY_FULFILLED</x:v>
      </x:c>
      <x:c r="G43" s="4" t="str">
        <x:v>PENDING</x:v>
      </x:c>
      <x:c r="H43" s="4" t="str">
        <x:v>PENDING</x:v>
      </x:c>
      <x:c r="I43" s="4" t="str">
        <x:v>PENDING</x:v>
      </x:c>
      <x:c r="J43" s="4" t="n">
        <x:v>0</x:v>
      </x:c>
      <x:c r="K43" s="4"/>
      <x:c r="L43" s="4"/>
      <x:c r="M43" s="4" t="str">
        <x:v>Deadline not yet reached</x:v>
      </x:c>
      <x:c r="N43" s="4" t="str">
        <x:v>MEDIUM</x:v>
      </x:c>
      <x:c r="O43" s="4" t="str">
        <x:v>TEXT_CONFIRMED_IN_LISTED_SOURCE</x:v>
      </x:c>
      <x:c r="P43" s="4" t="n">
        <x:v>0</x:v>
      </x:c>
      <x:c r="Q43" s="4" t="str">
        <x:v>https://www.bvp.com/atlas/ai-escape-velocity-a-conversation-with-ray-kurzweil</x:v>
      </x:c>
      <x:c r="R43" s="4" t="str">
        <x:v>https://www.bvp.com/atlas/ai-escape-velocity-a-conversation-with-ray-kurzweil
https://www.cdc.gov/nchs/products/databriefs/db548.htm
https://pubmed.ncbi.nlm.nih.gov/36599349/</x:v>
      </x:c>
    </x:row>
    <x:row r="44" ht="64" customHeight="1">
      <x:c r="A44" s="4" t="str">
        <x:v>K043</x:v>
      </x:c>
      <x:c r="B44" s="4" t="str">
        <x:v>Brain-to-cloud cognitive integration</x:v>
      </x:c>
      <x:c r="C44" s="4" t="str">
        <x:v>Neuroscience &amp; human augmentation</x:v>
      </x:c>
      <x:c r="D44" s="4" t="n">
        <x:v>2033</x:v>
      </x:c>
      <x:c r="E44" s="4" t="str">
        <x:v>NOT_DUE</x:v>
      </x:c>
      <x:c r="F44" s="4" t="str">
        <x:v>PARTLY_FULFILLED</x:v>
      </x:c>
      <x:c r="G44" s="4" t="str">
        <x:v>PENDING</x:v>
      </x:c>
      <x:c r="H44" s="4" t="str">
        <x:v>PENDING</x:v>
      </x:c>
      <x:c r="I44" s="4" t="str">
        <x:v>PENDING</x:v>
      </x:c>
      <x:c r="J44" s="4" t="n">
        <x:v>0</x:v>
      </x:c>
      <x:c r="K44" s="4"/>
      <x:c r="L44" s="4"/>
      <x:c r="M44" s="4" t="str">
        <x:v>Deadline not yet reached</x:v>
      </x:c>
      <x:c r="N44" s="4" t="str">
        <x:v>MEDIUM</x:v>
      </x:c>
      <x:c r="O44" s="4" t="str">
        <x:v>TEXT_CONFIRMED_IN_LISTED_SOURCE</x:v>
      </x:c>
      <x:c r="P44" s="4" t="n">
        <x:v>0</x:v>
      </x:c>
      <x:c r="Q44" s="4" t="str">
        <x:v>https://www.bvp.com/atlas/ai-escape-velocity-a-conversation-with-ray-kurzweil</x:v>
      </x:c>
      <x:c r="R44" s="4" t="str">
        <x:v>https://www.bvp.com/atlas/ai-escape-velocity-a-conversation-with-ray-kurzweil
https://www.fda.gov/medical-devices/cochlear-implants/what-educators-need-know</x:v>
      </x:c>
    </x:row>
    <x:row r="45" ht="64" customHeight="1">
      <x:c r="A45" s="4" t="str">
        <x:v>K044</x:v>
      </x:c>
      <x:c r="B45" s="4" t="str">
        <x:v>Renewable electricity reaches the full-demand threshold</x:v>
      </x:c>
      <x:c r="C45" s="4" t="str">
        <x:v>Energy &amp; environment</x:v>
      </x:c>
      <x:c r="D45" s="4" t="n">
        <x:v>2034</x:v>
      </x:c>
      <x:c r="E45" s="4" t="str">
        <x:v>NOT_DUE</x:v>
      </x:c>
      <x:c r="F45" s="4" t="str">
        <x:v>PARTLY_FULFILLED</x:v>
      </x:c>
      <x:c r="G45" s="4" t="str">
        <x:v>PENDING</x:v>
      </x:c>
      <x:c r="H45" s="4" t="str">
        <x:v>PENDING</x:v>
      </x:c>
      <x:c r="I45" s="4" t="str">
        <x:v>PENDING</x:v>
      </x:c>
      <x:c r="J45" s="4" t="n">
        <x:v>0</x:v>
      </x:c>
      <x:c r="K45" s="4"/>
      <x:c r="L45" s="4"/>
      <x:c r="M45" s="4" t="str">
        <x:v>Deadline not yet reached</x:v>
      </x:c>
      <x:c r="N45" s="4" t="str">
        <x:v>HIGH</x:v>
      </x:c>
      <x:c r="O45" s="4" t="str">
        <x:v>TEXT_CONFIRMED_IN_LISTED_SOURCE</x:v>
      </x:c>
      <x:c r="P45" s="4" t="n">
        <x:v>0</x:v>
      </x:c>
      <x:c r="Q45" s="4" t="str">
        <x:v>https://www.bvp.com/atlas/ai-escape-velocity-a-conversation-with-ray-kurzweil</x:v>
      </x:c>
      <x:c r="R45" s="4" t="str">
        <x:v>https://www.bvp.com/atlas/ai-escape-velocity-a-conversation-with-ray-kurzweil
https://www.iea.org/reports/global-energy-review-2026/electricity-supply</x:v>
      </x:c>
    </x:row>
    <x:row r="46" ht="64" customHeight="1">
      <x:c r="A46" s="4" t="str">
        <x:v>K045</x:v>
      </x:c>
      <x:c r="B46" s="4" t="str">
        <x:v>Human-level AI by the end of the 2020s</x:v>
      </x:c>
      <x:c r="C46" s="4" t="str">
        <x:v>AI &amp; software</x:v>
      </x:c>
      <x:c r="D46" s="4" t="n">
        <x:v>2029</x:v>
      </x:c>
      <x:c r="E46" s="4" t="str">
        <x:v>NOT_DUE</x:v>
      </x:c>
      <x:c r="F46" s="4" t="str">
        <x:v>PARTLY_FULFILLED</x:v>
      </x:c>
      <x:c r="G46" s="4" t="str">
        <x:v>PENDING</x:v>
      </x:c>
      <x:c r="H46" s="4" t="str">
        <x:v>PENDING</x:v>
      </x:c>
      <x:c r="I46" s="4" t="str">
        <x:v>CORRECT</x:v>
      </x:c>
      <x:c r="J46" s="4" t="n">
        <x:v>0</x:v>
      </x:c>
      <x:c r="K46" s="4"/>
      <x:c r="L46" s="4"/>
      <x:c r="M46" s="4" t="str">
        <x:v>Deadline not yet reached</x:v>
      </x:c>
      <x:c r="N46" s="4" t="str">
        <x:v>MEDIUM</x:v>
      </x:c>
      <x:c r="O46" s="4" t="str">
        <x:v>TEXT_CONFIRMED_IN_LISTED_SOURCE</x:v>
      </x:c>
      <x:c r="P46" s="4" t="n">
        <x:v>0</x:v>
      </x:c>
      <x:c r="Q46" s="4" t="str">
        <x:v>https://www.writingsbyraykurzweil.com/so-what-is-the-singularity</x:v>
      </x:c>
      <x:c r="R46" s="4" t="str">
        <x:v>https://www.writingsbyraykurzweil.com/so-what-is-the-singularity
https://arxiv.org/abs/2503.23674</x:v>
      </x:c>
    </x:row>
    <x:row r="47" ht="64" customHeight="1">
      <x:c r="A47" s="4" t="str">
        <x:v>K046</x:v>
      </x:c>
      <x:c r="B47" s="4" t="str">
        <x:v>Portable computers in many tiny form factors</x:v>
      </x:c>
      <x:c r="C47" s="4" t="str">
        <x:v>Computing hardware</x:v>
      </x:c>
      <x:c r="D47" s="4" t="n">
        <x:v>2009</x:v>
      </x:c>
      <x:c r="E47" s="4" t="str">
        <x:v>FULFILLED</x:v>
      </x:c>
      <x:c r="F47" s="4" t="str">
        <x:v>FULFILLED</x:v>
      </x:c>
      <x:c r="G47" s="4" t="str">
        <x:v>CORRECT</x:v>
      </x:c>
      <x:c r="H47" s="4" t="str">
        <x:v>CORRECT</x:v>
      </x:c>
      <x:c r="I47" s="4" t="str">
        <x:v>CORRECT</x:v>
      </x:c>
      <x:c r="J47" s="4" t="n">
        <x:v>1</x:v>
      </x:c>
      <x:c r="K47" s="4"/>
      <x:c r="L47" s="4" t="n">
        <x:v>2009</x:v>
      </x:c>
      <x:c r="M47" s="4" t="str">
        <x:v>Documented by 2009</x:v>
      </x:c>
      <x:c r="N47" s="4" t="str">
        <x:v>HIGH</x:v>
      </x:c>
      <x:c r="O47" s="4" t="str">
        <x:v>TEXT_CONFIRMED_IN_LISTED_SOURCE</x:v>
      </x:c>
      <x:c r="P47" s="4" t="n">
        <x:v>0</x:v>
      </x:c>
      <x:c r="Q47" s="4" t="str">
        <x:v>https://www.thekurzweillibrary.com/images/How-My-Predictions-Are-Faring.pdf</x:v>
      </x:c>
      <x:c r="R47" s="4" t="str">
        <x:v>https://www.apple.com/newsroom/2009/03/11Apple-Announces-Incredible-New-iPod-shuffle/
https://www.apple.com/newsroom/2008/01/15Apple-Introduces-MacBook-Air-The-Worlds-Thinnest-Notebook/
https://press.aboutamazon.com/2007/11/introducing-amazon-kindle
https://www.apple.com/newsroom/2008/07/14iPhone-App-Store-Downloads-Top-10-Million-in-First-Weekend/</x:v>
      </x:c>
    </x:row>
    <x:row r="48" ht="64" customHeight="1">
      <x:c r="A48" s="4" t="str">
        <x:v>K047</x:v>
      </x:c>
      <x:c r="B48" s="4" t="str">
        <x:v>Automated systems eliminate most human driving</x:v>
      </x:c>
      <x:c r="C48" s="4" t="str">
        <x:v>Robotics &amp; transportation</x:v>
      </x:c>
      <x:c r="D48" s="4" t="n">
        <x:v>2019</x:v>
      </x:c>
      <x:c r="E48" s="4" t="str">
        <x:v>NOT_FULFILLED</x:v>
      </x:c>
      <x:c r="F48" s="4" t="str">
        <x:v>NOT_FULFILLED</x:v>
      </x:c>
      <x:c r="G48" s="4" t="str">
        <x:v>WRONG</x:v>
      </x:c>
      <x:c r="H48" s="4" t="str">
        <x:v>WRONG</x:v>
      </x:c>
      <x:c r="I48" s="4" t="str">
        <x:v>LATE</x:v>
      </x:c>
      <x:c r="J48" s="4" t="n">
        <x:v>1</x:v>
      </x:c>
      <x:c r="K48" s="4"/>
      <x:c r="L48" s="4"/>
      <x:c r="M48" s="4" t="str">
        <x:v>Not fully realized by 2026-10-15; overdue, not an observed delay</x:v>
      </x:c>
      <x:c r="N48" s="4" t="str">
        <x:v>HIGH</x:v>
      </x:c>
      <x:c r="O48" s="4" t="str">
        <x:v>TEXT_CONFIRMED_IN_LISTED_SOURCE</x:v>
      </x:c>
      <x:c r="P48" s="4" t="n">
        <x:v>0</x:v>
      </x:c>
      <x:c r="Q48" s="4" t="str">
        <x:v>https://iranscope.ghandchi.com/Anthology/Kurzweil-SM.htm</x:v>
      </x:c>
      <x:c r="R48" s="4" t="str">
        <x:v>https://www.nhtsa.gov/vehicle-safety/automated-vehicle-safety
https://waymo.com/blog/2020/10/waymo-is-opening-its-fully-driverless-service-in-phoenix/
https://www.who.int/news/item/13-12-2023-despite-notable-progress-road-safety-remains-urgent-global-issue</x:v>
      </x:c>
    </x:row>
    <x:row r="49" ht="64" customHeight="1">
      <x:c r="A49" s="4" t="str">
        <x:v>K048</x:v>
      </x:c>
      <x:c r="B49" s="4" t="str">
        <x:v>Common many-language speech-to-speech translation</x:v>
      </x:c>
      <x:c r="C49" s="4" t="str">
        <x:v>AI &amp; software</x:v>
      </x:c>
      <x:c r="D49" s="4" t="n">
        <x:v>2009</x:v>
      </x:c>
      <x:c r="E49" s="4" t="str">
        <x:v>PARTLY_FULFILLED</x:v>
      </x:c>
      <x:c r="F49" s="4" t="str">
        <x:v>FULFILLED</x:v>
      </x:c>
      <x:c r="G49" s="4" t="str">
        <x:v>LATE</x:v>
      </x:c>
      <x:c r="H49" s="4" t="str">
        <x:v>LATE</x:v>
      </x:c>
      <x:c r="I49" s="4" t="str">
        <x:v>LATE</x:v>
      </x:c>
      <x:c r="J49" s="4" t="n">
        <x:v>1</x:v>
      </x:c>
      <x:c r="K49" s="4"/>
      <x:c r="L49" s="4" t="n">
        <x:v>2015</x:v>
      </x:c>
      <x:c r="M49" s="4" t="str">
        <x:v>Documented by 2015; after 2009, no later than 2015</x:v>
      </x:c>
      <x:c r="N49" s="4" t="str">
        <x:v>MEDIUM</x:v>
      </x:c>
      <x:c r="O49" s="4" t="str">
        <x:v>TEXT_CONFIRMED_IN_LISTED_SOURCE</x:v>
      </x:c>
      <x:c r="P49" s="4" t="n">
        <x:v>0</x:v>
      </x:c>
      <x:c r="Q49" s="4" t="str">
        <x:v>https://www.thekurzweillibrary.com/images/How-My-Predictions-Are-Faring.pdf</x:v>
      </x:c>
      <x:c r="R49" s="4" t="str">
        <x:v>https://www.cmu.edu/homepage/society/2009/fall/how-do-you-say.shtml
https://translate.googleblog.com/2011/10/start-conversation-with-google.html
https://translate.googleblog.com/2015/
https://www.apple.com/ci/newsroom/2025/09/new-apple-intelligence-features-are-available-today/
https://support.apple.com/is-is/guide/iphone/iph22b72984d/26/ios/26</x:v>
      </x:c>
    </x:row>
    <x:row r="50" ht="64" customHeight="1">
      <x:c r="A50" s="4" t="str">
        <x:v>K049</x:v>
      </x:c>
      <x:c r="B50" s="4" t="str">
        <x:v>Ubiquitous bidirectional cochlear network interfaces</x:v>
      </x:c>
      <x:c r="C50" s="4" t="str">
        <x:v>Neuroscience &amp; human augmentation</x:v>
      </x:c>
      <x:c r="D50" s="4" t="n">
        <x:v>2029</x:v>
      </x:c>
      <x:c r="E50" s="4" t="str">
        <x:v>NOT_DUE</x:v>
      </x:c>
      <x:c r="F50" s="4" t="str">
        <x:v>PARTLY_FULFILLED</x:v>
      </x:c>
      <x:c r="G50" s="4" t="str">
        <x:v>PENDING</x:v>
      </x:c>
      <x:c r="H50" s="4" t="str">
        <x:v>PENDING</x:v>
      </x:c>
      <x:c r="I50" s="4" t="str">
        <x:v>PENDING</x:v>
      </x:c>
      <x:c r="J50" s="4" t="n">
        <x:v>0</x:v>
      </x:c>
      <x:c r="K50" s="4"/>
      <x:c r="L50" s="4"/>
      <x:c r="M50" s="4" t="str">
        <x:v>Deadline not yet reached</x:v>
      </x:c>
      <x:c r="N50" s="4" t="str">
        <x:v>MEDIUM</x:v>
      </x:c>
      <x:c r="O50" s="4" t="str">
        <x:v>TEXT_CONFIRMED_IN_LISTED_SOURCE</x:v>
      </x:c>
      <x:c r="P50" s="4" t="n">
        <x:v>0</x:v>
      </x:c>
      <x:c r="Q50" s="4" t="str">
        <x:v>https://iranscope.ghandchi.com/Anthology/Kurzweil-SM.htm</x:v>
      </x:c>
      <x:c r="R50" s="4" t="str">
        <x:v>https://www.fda.gov/medical-devices/cochlear-implants/what-educators-need-know</x:v>
      </x:c>
    </x:row>
    <x:row r="51" ht="64" customHeight="1">
      <x:c r="A51" s="4" t="str">
        <x:v>K050</x:v>
      </x:c>
      <x:c r="B51" s="4" t="str">
        <x:v>Invisible computing embedded throughout the environment</x:v>
      </x:c>
      <x:c r="C51" s="4" t="str">
        <x:v>Computing hardware</x:v>
      </x:c>
      <x:c r="D51" s="4" t="n">
        <x:v>2019</x:v>
      </x:c>
      <x:c r="E51" s="4" t="str">
        <x:v>FULFILLED</x:v>
      </x:c>
      <x:c r="F51" s="4" t="str">
        <x:v>FULFILLED</x:v>
      </x:c>
      <x:c r="G51" s="4" t="str">
        <x:v>CORRECT</x:v>
      </x:c>
      <x:c r="H51" s="4" t="str">
        <x:v>PARTIAL</x:v>
      </x:c>
      <x:c r="I51" s="4" t="str">
        <x:v>CORRECT</x:v>
      </x:c>
      <x:c r="J51" s="4" t="n">
        <x:v>1</x:v>
      </x:c>
      <x:c r="K51" s="4"/>
      <x:c r="L51" s="4" t="n">
        <x:v>2019</x:v>
      </x:c>
      <x:c r="M51" s="4" t="str">
        <x:v>Documented by 2019</x:v>
      </x:c>
      <x:c r="N51" s="4" t="str">
        <x:v>MEDIUM</x:v>
      </x:c>
      <x:c r="O51" s="4" t="str">
        <x:v>TEXT_CONFIRMED_IN_LISTED_SOURCE</x:v>
      </x:c>
      <x:c r="P51" s="4" t="n">
        <x:v>0</x:v>
      </x:c>
      <x:c r="Q51" s="4" t="str">
        <x:v>https://iranscope.ghandchi.com/Anthology/Kurzweil-SM.htm</x:v>
      </x:c>
      <x:c r="R51" s="4" t="str">
        <x:v>https://ifr.org/ifr-press-releases/news/service-robots-record-sales-worldwide-up-32
https://www.apple.com/newsroom/2018/09/redesigned-apple-watch-series-4-revolutionizes-communication-fitness-and-health/
https://investor.irobot.com/news-releases/news-release-details/irobot-achieves-milestone-home-robot-market</x:v>
      </x:c>
    </x:row>
    <x:row r="52" ht="64" customHeight="1">
      <x:c r="A52" s="4" t="str">
        <x:v>K051</x:v>
      </x:c>
      <x:c r="B52" s="4" t="str">
        <x:v>3D integrated circuits become common</x:v>
      </x:c>
      <x:c r="C52" s="4" t="str">
        <x:v>Computing hardware</x:v>
      </x:c>
      <x:c r="D52" s="4" t="n">
        <x:v>2009</x:v>
      </x:c>
      <x:c r="E52" s="4" t="str">
        <x:v>PARTLY_FULFILLED</x:v>
      </x:c>
      <x:c r="F52" s="4" t="str">
        <x:v>FULFILLED</x:v>
      </x:c>
      <x:c r="G52" s="4" t="str">
        <x:v>LATE</x:v>
      </x:c>
      <x:c r="H52" s="4" t="str">
        <x:v>LATE</x:v>
      </x:c>
      <x:c r="I52" s="4" t="str">
        <x:v>CORRECT</x:v>
      </x:c>
      <x:c r="J52" s="4" t="n">
        <x:v>1</x:v>
      </x:c>
      <x:c r="K52" s="4"/>
      <x:c r="L52" s="4" t="n">
        <x:v>2015</x:v>
      </x:c>
      <x:c r="M52" s="4" t="str">
        <x:v>By the mid-2010s on the stated market reading; exact threshold year not established</x:v>
      </x:c>
      <x:c r="N52" s="4" t="str">
        <x:v>MEDIUM</x:v>
      </x:c>
      <x:c r="O52" s="4" t="str">
        <x:v>AUTHOR_RETROSPECTIVE_CHECKED</x:v>
      </x:c>
      <x:c r="P52" s="4" t="n">
        <x:v>1</x:v>
      </x:c>
      <x:c r="Q52" s="4" t="str">
        <x:v>https://www.thekurzweillibrary.com/images/How-My-Predictions-Are-Faring.pdf</x:v>
      </x:c>
      <x:c r="R52" s="4" t="str">
        <x:v>https://www.thekurzweillibrary.com/images/How-My-Predictions-Are-Faring.pdf
https://news.samsung.com/global/samsung-starts-mass-producing-industrys-first-3d-vertical-nand-flash</x:v>
      </x:c>
    </x:row>
    <x:row r="53" ht="64" customHeight="1">
      <x:c r="A53" s="4" t="str">
        <x:v>K052</x:v>
      </x:c>
      <x:c r="B53" s="4" t="str">
        <x:v>$1,000 PCs reach one teraflop</x:v>
      </x:c>
      <x:c r="C53" s="4" t="str">
        <x:v>Computing hardware</x:v>
      </x:c>
      <x:c r="D53" s="4" t="n">
        <x:v>2009</x:v>
      </x:c>
      <x:c r="E53" s="4" t="str">
        <x:v>FULFILLED</x:v>
      </x:c>
      <x:c r="F53" s="4" t="str">
        <x:v>FULFILLED</x:v>
      </x:c>
      <x:c r="G53" s="4" t="str">
        <x:v>CORRECT</x:v>
      </x:c>
      <x:c r="H53" s="4" t="str">
        <x:v>LATE</x:v>
      </x:c>
      <x:c r="I53" s="4" t="str">
        <x:v>CORRECT</x:v>
      </x:c>
      <x:c r="J53" s="4" t="n">
        <x:v>1</x:v>
      </x:c>
      <x:c r="K53" s="4"/>
      <x:c r="L53" s="4" t="n">
        <x:v>2009</x:v>
      </x:c>
      <x:c r="M53" s="4" t="str">
        <x:v>Documented by 2009</x:v>
      </x:c>
      <x:c r="N53" s="4" t="str">
        <x:v>MEDIUM</x:v>
      </x:c>
      <x:c r="O53" s="4" t="str">
        <x:v>AUTHOR_RETROSPECTIVE_CHECKED</x:v>
      </x:c>
      <x:c r="P53" s="4" t="n">
        <x:v>1</x:v>
      </x:c>
      <x:c r="Q53" s="4" t="str">
        <x:v>https://www.thekurzweillibrary.com/images/How-My-Predictions-Are-Faring.pdf</x:v>
      </x:c>
      <x:c r="R53" s="4" t="str">
        <x:v>https://xtremehardware.com/news/1524-amd-introduce-il-primo-chip-grafico-al-mondo-di-classe-teraflops
https://www.nvidia.com/en-us/geforce/news/introducing-rtx-30-series-graphics-cards/</x:v>
      </x:c>
    </x:row>
    <x:row r="54" ht="64" customHeight="1">
      <x:c r="A54" s="4" t="str">
        <x:v>K053</x:v>
      </x:c>
      <x:c r="B54" s="4" t="str">
        <x:v>Idle Internet PCs form virtual supercomputers</x:v>
      </x:c>
      <x:c r="C54" s="4" t="str">
        <x:v>Computing hardware</x:v>
      </x:c>
      <x:c r="D54" s="4" t="n">
        <x:v>2009</x:v>
      </x:c>
      <x:c r="E54" s="4" t="str">
        <x:v>PARTLY_FULFILLED</x:v>
      </x:c>
      <x:c r="F54" s="4" t="str">
        <x:v>FULFILLED</x:v>
      </x:c>
      <x:c r="G54" s="4" t="str">
        <x:v>LATE</x:v>
      </x:c>
      <x:c r="H54" s="4" t="str">
        <x:v>LATE</x:v>
      </x:c>
      <x:c r="I54" s="4" t="str">
        <x:v>CORRECT</x:v>
      </x:c>
      <x:c r="J54" s="4" t="n">
        <x:v>1</x:v>
      </x:c>
      <x:c r="K54" s="4"/>
      <x:c r="L54" s="4" t="n">
        <x:v>2020</x:v>
      </x:c>
      <x:c r="M54" s="4" t="str">
        <x:v>Documented by 2020; after 2009, no later than 2020</x:v>
      </x:c>
      <x:c r="N54" s="4" t="str">
        <x:v>MEDIUM</x:v>
      </x:c>
      <x:c r="O54" s="4" t="str">
        <x:v>AUTHOR_RETROSPECTIVE_CHECKED</x:v>
      </x:c>
      <x:c r="P54" s="4" t="n">
        <x:v>1</x:v>
      </x:c>
      <x:c r="Q54" s="4" t="str">
        <x:v>https://www.thekurzweillibrary.com/images/How-My-Predictions-Are-Faring.pdf</x:v>
      </x:c>
      <x:c r="R54" s="4" t="str">
        <x:v>https://www.thekurzweillibrary.com/images/How-My-Predictions-Are-Faring.pdf
https://foldingathome.org/science/folding</x:v>
      </x:c>
    </x:row>
    <x:row r="55" ht="64" customHeight="1">
      <x:c r="A55" s="4" t="str">
        <x:v>K054</x:v>
      </x:c>
      <x:c r="B55" s="4" t="str">
        <x:v>Interest in neural methods grows</x:v>
      </x:c>
      <x:c r="C55" s="4" t="str">
        <x:v>AI &amp; software</x:v>
      </x:c>
      <x:c r="D55" s="4" t="n">
        <x:v>2009</x:v>
      </x:c>
      <x:c r="E55" s="4" t="str">
        <x:v>FULFILLED</x:v>
      </x:c>
      <x:c r="F55" s="4" t="str">
        <x:v>FULFILLED</x:v>
      </x:c>
      <x:c r="G55" s="4" t="str">
        <x:v>CORRECT</x:v>
      </x:c>
      <x:c r="H55" s="4" t="str">
        <x:v>CORRECT</x:v>
      </x:c>
      <x:c r="I55" s="4" t="str">
        <x:v>CORRECT</x:v>
      </x:c>
      <x:c r="J55" s="4" t="n">
        <x:v>1</x:v>
      </x:c>
      <x:c r="K55" s="4"/>
      <x:c r="L55" s="4" t="n">
        <x:v>2009</x:v>
      </x:c>
      <x:c r="M55" s="4" t="str">
        <x:v>Documented by 2009</x:v>
      </x:c>
      <x:c r="N55" s="4" t="str">
        <x:v>MEDIUM</x:v>
      </x:c>
      <x:c r="O55" s="4" t="str">
        <x:v>AUTHOR_RETROSPECTIVE_CHECKED</x:v>
      </x:c>
      <x:c r="P55" s="4" t="n">
        <x:v>1</x:v>
      </x:c>
      <x:c r="Q55" s="4" t="str">
        <x:v>https://www.thekurzweillibrary.com/images/How-My-Predictions-Are-Faring.pdf</x:v>
      </x:c>
      <x:c r="R55" s="4" t="str">
        <x:v>https://pubmed.ncbi.nlm.nih.gov/16764513/
https://papers.nips.cc/paper/4824-imagenet-classification-with-deep-convolutional-neural-networks</x:v>
      </x:c>
    </x:row>
    <x:row r="56" ht="64" customHeight="1">
      <x:c r="A56" s="4" t="str">
        <x:v>K055</x:v>
      </x:c>
      <x:c r="B56" s="4" t="str">
        <x:v>Computer cameras recognize their owners</x:v>
      </x:c>
      <x:c r="C56" s="4" t="str">
        <x:v>AI &amp; software</x:v>
      </x:c>
      <x:c r="D56" s="4" t="n">
        <x:v>2009</x:v>
      </x:c>
      <x:c r="E56" s="4" t="str">
        <x:v>PARTLY_FULFILLED</x:v>
      </x:c>
      <x:c r="F56" s="4" t="str">
        <x:v>FULFILLED</x:v>
      </x:c>
      <x:c r="G56" s="4" t="str">
        <x:v>LATE</x:v>
      </x:c>
      <x:c r="H56" s="4" t="str">
        <x:v>LATE</x:v>
      </x:c>
      <x:c r="I56" s="4" t="str">
        <x:v>LATE</x:v>
      </x:c>
      <x:c r="J56" s="4" t="n">
        <x:v>1</x:v>
      </x:c>
      <x:c r="K56" s="4"/>
      <x:c r="L56" s="4" t="n">
        <x:v>2017</x:v>
      </x:c>
      <x:c r="M56" s="4" t="str">
        <x:v>Documented by 2017; after 2009, no later than 2017</x:v>
      </x:c>
      <x:c r="N56" s="4" t="str">
        <x:v>MEDIUM</x:v>
      </x:c>
      <x:c r="O56" s="4" t="str">
        <x:v>AUTHOR_ADAPTATION_CHECKED</x:v>
      </x:c>
      <x:c r="P56" s="4" t="n">
        <x:v>1</x:v>
      </x:c>
      <x:c r="Q56" s="4" t="str">
        <x:v>https://iranscope.ghandchi.com/Anthology/Kurzweil-SM.htm</x:v>
      </x:c>
      <x:c r="R56" s="4" t="str">
        <x:v>https://www.thekurzweillibrary.com/images/How-My-Predictions-Are-Faring.pdf
https://www.apple.com/newsroom/2017/09/the-future-is-here-iphone-x/</x:v>
      </x:c>
    </x:row>
    <x:row r="57" ht="64" customHeight="1">
      <x:c r="A57" s="4" t="str">
        <x:v>K056</x:v>
      </x:c>
      <x:c r="B57" s="4" t="str">
        <x:v>Students carry personal sub-pound tablets</x:v>
      </x:c>
      <x:c r="C57" s="4" t="str">
        <x:v>Media, education &amp; culture</x:v>
      </x:c>
      <x:c r="D57" s="4" t="n">
        <x:v>2009</x:v>
      </x:c>
      <x:c r="E57" s="4" t="str">
        <x:v>NOT_FULFILLED</x:v>
      </x:c>
      <x:c r="F57" s="4" t="str">
        <x:v>PARTLY_FULFILLED</x:v>
      </x:c>
      <x:c r="G57" s="4" t="str">
        <x:v>PARTIAL</x:v>
      </x:c>
      <x:c r="H57" s="4" t="str">
        <x:v>PARTIAL</x:v>
      </x:c>
      <x:c r="I57" s="4" t="str">
        <x:v>LATE</x:v>
      </x:c>
      <x:c r="J57" s="4" t="n">
        <x:v>1</x:v>
      </x:c>
      <x:c r="K57" s="4"/>
      <x:c r="L57" s="4"/>
      <x:c r="M57" s="4" t="str">
        <x:v>Not fully realized by 2026-10-15; overdue, not an observed delay</x:v>
      </x:c>
      <x:c r="N57" s="4" t="str">
        <x:v>MEDIUM</x:v>
      </x:c>
      <x:c r="O57" s="4" t="str">
        <x:v>AUTHOR_ADAPTATION_CHECKED</x:v>
      </x:c>
      <x:c r="P57" s="4" t="n">
        <x:v>1</x:v>
      </x:c>
      <x:c r="Q57" s="4" t="str">
        <x:v>https://iranscope.ghandchi.com/Anthology/Kurzweil-SM.htm</x:v>
      </x:c>
      <x:c r="R57" s="4" t="str">
        <x:v>https://ies.ed.gov/use-work/resource-library/report/first-look-ed-tab/teachers-use-educational-technology-u-s-public-schools-2009
https://nces.ed.gov/surveys/annualreports/topical-studies/covid/theme/elementary-and-secondary-education-technology-support/</x:v>
      </x:c>
    </x:row>
    <x:row r="58" ht="64" customHeight="1">
      <x:c r="A58" s="4" t="str">
        <x:v>K057</x:v>
      </x:c>
      <x:c r="B58" s="4" t="str">
        <x:v>Learning materials arrive wirelessly</x:v>
      </x:c>
      <x:c r="C58" s="4" t="str">
        <x:v>Media, education &amp; culture</x:v>
      </x:c>
      <x:c r="D58" s="4" t="n">
        <x:v>2009</x:v>
      </x:c>
      <x:c r="E58" s="4" t="str">
        <x:v>FULFILLED</x:v>
      </x:c>
      <x:c r="F58" s="4" t="str">
        <x:v>FULFILLED</x:v>
      </x:c>
      <x:c r="G58" s="4" t="str">
        <x:v>CORRECT</x:v>
      </x:c>
      <x:c r="H58" s="4" t="str">
        <x:v>CORRECT</x:v>
      </x:c>
      <x:c r="I58" s="4" t="str">
        <x:v>CORRECT</x:v>
      </x:c>
      <x:c r="J58" s="4" t="n">
        <x:v>1</x:v>
      </x:c>
      <x:c r="K58" s="4"/>
      <x:c r="L58" s="4" t="n">
        <x:v>2009</x:v>
      </x:c>
      <x:c r="M58" s="4" t="str">
        <x:v>Documented by 2009</x:v>
      </x:c>
      <x:c r="N58" s="4" t="str">
        <x:v>HIGH</x:v>
      </x:c>
      <x:c r="O58" s="4" t="str">
        <x:v>AUTHOR_ADAPTATION_CHECKED</x:v>
      </x:c>
      <x:c r="P58" s="4" t="n">
        <x:v>1</x:v>
      </x:c>
      <x:c r="Q58" s="4" t="str">
        <x:v>https://iranscope.ghandchi.com/Anthology/Kurzweil-SM.htm</x:v>
      </x:c>
      <x:c r="R58" s="4" t="str">
        <x:v>https://www.apple.com/newsroom/2007/05/30Apple-Announces-iTunes-U-on-the-iTunes-Store/
https://www.pewresearch.org/internet/2009/07/22/wireless-internet-use/</x:v>
      </x:c>
    </x:row>
    <x:row r="59" ht="64" customHeight="1">
      <x:c r="A59" s="4" t="str">
        <x:v>K058</x:v>
      </x:c>
      <x:c r="B59" s="4" t="str">
        <x:v>Teachers shift mainly to mentoring</x:v>
      </x:c>
      <x:c r="C59" s="4" t="str">
        <x:v>Media, education &amp; culture</x:v>
      </x:c>
      <x:c r="D59" s="4" t="n">
        <x:v>2009</x:v>
      </x:c>
      <x:c r="E59" s="4" t="str">
        <x:v>PARTLY_FULFILLED</x:v>
      </x:c>
      <x:c r="F59" s="4" t="str">
        <x:v>PARTLY_FULFILLED</x:v>
      </x:c>
      <x:c r="G59" s="4" t="str">
        <x:v>PARTIAL</x:v>
      </x:c>
      <x:c r="H59" s="4" t="str">
        <x:v>PARTIAL</x:v>
      </x:c>
      <x:c r="I59" s="4" t="str">
        <x:v>CORRECT</x:v>
      </x:c>
      <x:c r="J59" s="4" t="n">
        <x:v>1</x:v>
      </x:c>
      <x:c r="K59" s="4"/>
      <x:c r="L59" s="4"/>
      <x:c r="M59" s="4" t="str">
        <x:v>Not fully realized by 2026-10-15; overdue, not an observed delay</x:v>
      </x:c>
      <x:c r="N59" s="4" t="str">
        <x:v>MEDIUM</x:v>
      </x:c>
      <x:c r="O59" s="4" t="str">
        <x:v>AUTHOR_ADAPTATION_CHECKED</x:v>
      </x:c>
      <x:c r="P59" s="4" t="n">
        <x:v>1</x:v>
      </x:c>
      <x:c r="Q59" s="4" t="str">
        <x:v>https://iranscope.ghandchi.com/Anthology/Kurzweil-SM.htm</x:v>
      </x:c>
      <x:c r="R59" s="4" t="str">
        <x:v>https://ies.ed.gov/use-work/resource-library/report/first-look-ed-tab/teachers-use-educational-technology-u-s-public-schools-2009
https://www.unesco.org/en/teachers-cannot-be-coded
https://nces.ed.gov/surveys/annualreports/topical-studies/covid/theme/elementary-and-secondary-education-technology-support/</x:v>
      </x:c>
    </x:row>
    <x:row r="60" ht="64" customHeight="1">
      <x:c r="A60" s="4" t="str">
        <x:v>K059</x:v>
      </x:c>
      <x:c r="B60" s="4" t="str">
        <x:v>At least half of transactions occur online</x:v>
      </x:c>
      <x:c r="C60" s="4" t="str">
        <x:v>Economy &amp; society</x:v>
      </x:c>
      <x:c r="D60" s="4" t="n">
        <x:v>2009</x:v>
      </x:c>
      <x:c r="E60" s="4" t="str">
        <x:v>NOT_FULFILLED</x:v>
      </x:c>
      <x:c r="F60" s="4" t="str">
        <x:v>NOT_FULFILLED</x:v>
      </x:c>
      <x:c r="G60" s="4" t="str">
        <x:v>WRONG</x:v>
      </x:c>
      <x:c r="H60" s="4" t="str">
        <x:v>WRONG</x:v>
      </x:c>
      <x:c r="I60" s="4" t="str">
        <x:v>LATE</x:v>
      </x:c>
      <x:c r="J60" s="4" t="n">
        <x:v>1</x:v>
      </x:c>
      <x:c r="K60" s="4"/>
      <x:c r="L60" s="4"/>
      <x:c r="M60" s="4" t="str">
        <x:v>Not fully realized by 2026-10-15; overdue, not an observed delay</x:v>
      </x:c>
      <x:c r="N60" s="4" t="str">
        <x:v>MEDIUM</x:v>
      </x:c>
      <x:c r="O60" s="4" t="str">
        <x:v>AUTHOR_ADAPTATION_CHECKED</x:v>
      </x:c>
      <x:c r="P60" s="4" t="n">
        <x:v>1</x:v>
      </x:c>
      <x:c r="Q60" s="4" t="str">
        <x:v>https://iranscope.ghandchi.com/Anthology/Kurzweil-SM.htm</x:v>
      </x:c>
      <x:c r="R60" s="4" t="str">
        <x:v>https://www2.census.gov/historical/ecomm/09q4.html
https://www.census.gov/retail/eCommerce.html</x:v>
      </x:c>
    </x:row>
    <x:row r="61" ht="64" customHeight="1">
      <x:c r="A61" s="4" t="str">
        <x:v>K060</x:v>
      </x:c>
      <x:c r="B61" s="4" t="str">
        <x:v>Work groups become geographically distributed</x:v>
      </x:c>
      <x:c r="C61" s="4" t="str">
        <x:v>Economy &amp; society</x:v>
      </x:c>
      <x:c r="D61" s="4" t="n">
        <x:v>2009</x:v>
      </x:c>
      <x:c r="E61" s="4" t="str">
        <x:v>FULFILLED</x:v>
      </x:c>
      <x:c r="F61" s="4" t="str">
        <x:v>FULFILLED</x:v>
      </x:c>
      <x:c r="G61" s="4" t="str">
        <x:v>CORRECT</x:v>
      </x:c>
      <x:c r="H61" s="4" t="str">
        <x:v>CORRECT</x:v>
      </x:c>
      <x:c r="I61" s="4" t="str">
        <x:v>CORRECT</x:v>
      </x:c>
      <x:c r="J61" s="4" t="n">
        <x:v>1</x:v>
      </x:c>
      <x:c r="K61" s="4"/>
      <x:c r="L61" s="4" t="n">
        <x:v>2007</x:v>
      </x:c>
      <x:c r="M61" s="4" t="str">
        <x:v>Documented by 2007</x:v>
      </x:c>
      <x:c r="N61" s="4" t="str">
        <x:v>HIGH</x:v>
      </x:c>
      <x:c r="O61" s="4" t="str">
        <x:v>AUTHOR_ADAPTATION_CHECKED</x:v>
      </x:c>
      <x:c r="P61" s="4" t="n">
        <x:v>1</x:v>
      </x:c>
      <x:c r="Q61" s="4" t="str">
        <x:v>https://iranscope.ghandchi.com/Anthology/Kurzweil-SM.htm</x:v>
      </x:c>
      <x:c r="R61" s="4" t="str">
        <x:v>https://newsroom.cisco.com/c/r/newsroom/en/us/a/y2007/m03/cisco-announces-agreement-to-acquire-webex.html
https://www.microsoft.com/en-us/microsoft-365/blog/2019/07/11/microsoft-teams-reaches-13-million-daily-active-users-introduces-4-new-ways-for-teams-to-work-better-together/</x:v>
      </x:c>
    </x:row>
    <x:row r="62" ht="64" customHeight="1">
      <x:c r="A62" s="4" t="str">
        <x:v>K061</x:v>
      </x:c>
      <x:c r="B62" s="4" t="str">
        <x:v>Household robots emerge before full acceptance</x:v>
      </x:c>
      <x:c r="C62" s="4" t="str">
        <x:v>Robotics &amp; transportation</x:v>
      </x:c>
      <x:c r="D62" s="4" t="n">
        <x:v>2009</x:v>
      </x:c>
      <x:c r="E62" s="4" t="str">
        <x:v>FULFILLED</x:v>
      </x:c>
      <x:c r="F62" s="4" t="str">
        <x:v>FULFILLED</x:v>
      </x:c>
      <x:c r="G62" s="4" t="str">
        <x:v>CORRECT</x:v>
      </x:c>
      <x:c r="H62" s="4" t="str">
        <x:v>CORRECT</x:v>
      </x:c>
      <x:c r="I62" s="4" t="str">
        <x:v>CORRECT</x:v>
      </x:c>
      <x:c r="J62" s="4" t="n">
        <x:v>1</x:v>
      </x:c>
      <x:c r="K62" s="4"/>
      <x:c r="L62" s="4" t="n">
        <x:v>2009</x:v>
      </x:c>
      <x:c r="M62" s="4" t="str">
        <x:v>Documented by 2009</x:v>
      </x:c>
      <x:c r="N62" s="4" t="str">
        <x:v>HIGH</x:v>
      </x:c>
      <x:c r="O62" s="4" t="str">
        <x:v>AUTHOR_ADAPTATION_CHECKED</x:v>
      </x:c>
      <x:c r="P62" s="4" t="n">
        <x:v>1</x:v>
      </x:c>
      <x:c r="Q62" s="4" t="str">
        <x:v>https://iranscope.ghandchi.com/Anthology/Kurzweil-SM.htm</x:v>
      </x:c>
      <x:c r="R62" s="4" t="str">
        <x:v>https://investor.irobot.com/news-releases/news-release-details/irobot-achieves-milestone-home-robot-market
https://ifr.org/ifr-press-releases/news/service-robots-record-sales-worldwide-up-32</x:v>
      </x:c>
    </x:row>
    <x:row r="63" ht="64" customHeight="1">
      <x:c r="A63" s="4" t="str">
        <x:v>K062</x:v>
      </x:c>
      <x:c r="B63" s="4" t="str">
        <x:v>Telemedicine includes remote tactile examinations</x:v>
      </x:c>
      <x:c r="C63" s="4" t="str">
        <x:v>Biology &amp; medicine</x:v>
      </x:c>
      <x:c r="D63" s="4" t="n">
        <x:v>2009</x:v>
      </x:c>
      <x:c r="E63" s="4" t="str">
        <x:v>PARTLY_FULFILLED</x:v>
      </x:c>
      <x:c r="F63" s="4" t="str">
        <x:v>PARTLY_FULFILLED</x:v>
      </x:c>
      <x:c r="G63" s="4" t="str">
        <x:v>PARTIAL</x:v>
      </x:c>
      <x:c r="H63" s="4" t="str">
        <x:v>PARTIAL</x:v>
      </x:c>
      <x:c r="I63" s="4" t="str">
        <x:v>LATE</x:v>
      </x:c>
      <x:c r="J63" s="4" t="n">
        <x:v>1</x:v>
      </x:c>
      <x:c r="K63" s="4"/>
      <x:c r="L63" s="4"/>
      <x:c r="M63" s="4" t="str">
        <x:v>Not fully realized by 2026-10-15; overdue, not an observed delay</x:v>
      </x:c>
      <x:c r="N63" s="4" t="str">
        <x:v>MEDIUM</x:v>
      </x:c>
      <x:c r="O63" s="4" t="str">
        <x:v>AUTHOR_ADAPTATION_CHECKED</x:v>
      </x:c>
      <x:c r="P63" s="4" t="n">
        <x:v>1</x:v>
      </x:c>
      <x:c r="Q63" s="4" t="str">
        <x:v>https://iranscope.ghandchi.com/Anthology/Kurzweil-SM.htm</x:v>
      </x:c>
      <x:c r="R63" s="4" t="str">
        <x:v>https://www.cdc.gov/nchs/products/databriefs/db445.htm
https://journals.sagepub.com/doi/10.1068/d394t</x:v>
      </x:c>
    </x:row>
    <x:row r="64" ht="64" customHeight="1">
      <x:c r="A64" s="4" t="str">
        <x:v>K063</x:v>
      </x:c>
      <x:c r="B64" s="4" t="str">
        <x:v>Pattern recognition becomes routine in medical imaging</x:v>
      </x:c>
      <x:c r="C64" s="4" t="str">
        <x:v>Biology &amp; medicine</x:v>
      </x:c>
      <x:c r="D64" s="4" t="n">
        <x:v>2009</x:v>
      </x:c>
      <x:c r="E64" s="4" t="str">
        <x:v>FULFILLED</x:v>
      </x:c>
      <x:c r="F64" s="4" t="str">
        <x:v>FULFILLED</x:v>
      </x:c>
      <x:c r="G64" s="4" t="str">
        <x:v>CORRECT</x:v>
      </x:c>
      <x:c r="H64" s="4" t="str">
        <x:v>CORRECT</x:v>
      </x:c>
      <x:c r="I64" s="4" t="str">
        <x:v>CORRECT</x:v>
      </x:c>
      <x:c r="J64" s="4" t="n">
        <x:v>1</x:v>
      </x:c>
      <x:c r="K64" s="4"/>
      <x:c r="L64" s="4" t="n">
        <x:v>2008</x:v>
      </x:c>
      <x:c r="M64" s="4" t="str">
        <x:v>Documented by 2008</x:v>
      </x:c>
      <x:c r="N64" s="4" t="str">
        <x:v>HIGH</x:v>
      </x:c>
      <x:c r="O64" s="4" t="str">
        <x:v>AUTHOR_ADAPTATION_CHECKED</x:v>
      </x:c>
      <x:c r="P64" s="4" t="n">
        <x:v>1</x:v>
      </x:c>
      <x:c r="Q64" s="4" t="str">
        <x:v>https://iranscope.ghandchi.com/Anthology/Kurzweil-SM.htm</x:v>
      </x:c>
      <x:c r="R64" s="4" t="str">
        <x:v>https://www.sciencedirect.com/science/article/abs/pii/S1546144010002735</x:v>
      </x:c>
    </x:row>
    <x:row r="65" ht="64" customHeight="1">
      <x:c r="A65" s="4" t="str">
        <x:v>K064</x:v>
      </x:c>
      <x:c r="B65" s="4" t="str">
        <x:v>Patient histories become lifelong digital records</x:v>
      </x:c>
      <x:c r="C65" s="4" t="str">
        <x:v>Biology &amp; medicine</x:v>
      </x:c>
      <x:c r="D65" s="4" t="n">
        <x:v>2009</x:v>
      </x:c>
      <x:c r="E65" s="4" t="str">
        <x:v>PARTLY_FULFILLED</x:v>
      </x:c>
      <x:c r="F65" s="4" t="str">
        <x:v>FULFILLED</x:v>
      </x:c>
      <x:c r="G65" s="4" t="str">
        <x:v>LATE</x:v>
      </x:c>
      <x:c r="H65" s="4" t="str">
        <x:v>LATE</x:v>
      </x:c>
      <x:c r="I65" s="4" t="str">
        <x:v>LATE</x:v>
      </x:c>
      <x:c r="J65" s="4" t="n">
        <x:v>1</x:v>
      </x:c>
      <x:c r="K65" s="4"/>
      <x:c r="L65" s="4" t="n">
        <x:v>2014</x:v>
      </x:c>
      <x:c r="M65" s="4" t="str">
        <x:v>Documented by 2014; after 2009, no later than 2014</x:v>
      </x:c>
      <x:c r="N65" s="4" t="str">
        <x:v>MEDIUM</x:v>
      </x:c>
      <x:c r="O65" s="4" t="str">
        <x:v>AUTHOR_ADAPTATION_CHECKED</x:v>
      </x:c>
      <x:c r="P65" s="4" t="n">
        <x:v>1</x:v>
      </x:c>
      <x:c r="Q65" s="4" t="str">
        <x:v>https://iranscope.ghandchi.com/Anthology/Kurzweil-SM.htm</x:v>
      </x:c>
      <x:c r="R65" s="4" t="str">
        <x:v>https://healthit.gov/data/quickstats/national-trends-hospital-and-physician-adoption-electronic-health-records/</x:v>
      </x:c>
    </x:row>
    <x:row r="66" ht="64" customHeight="1">
      <x:c r="A66" s="4" t="str">
        <x:v>K065</x:v>
      </x:c>
      <x:c r="B66" s="4" t="str">
        <x:v>Screens become the preferred visual-art medium</x:v>
      </x:c>
      <x:c r="C66" s="4" t="str">
        <x:v>Media, education &amp; culture</x:v>
      </x:c>
      <x:c r="D66" s="4" t="n">
        <x:v>2009</x:v>
      </x:c>
      <x:c r="E66" s="4" t="str">
        <x:v>PARTLY_FULFILLED</x:v>
      </x:c>
      <x:c r="F66" s="4" t="str">
        <x:v>PARTLY_FULFILLED</x:v>
      </x:c>
      <x:c r="G66" s="4" t="str">
        <x:v>PARTIAL</x:v>
      </x:c>
      <x:c r="H66" s="4" t="str">
        <x:v>PARTIAL</x:v>
      </x:c>
      <x:c r="I66" s="4" t="str">
        <x:v>CORRECT</x:v>
      </x:c>
      <x:c r="J66" s="4" t="n">
        <x:v>1</x:v>
      </x:c>
      <x:c r="K66" s="4"/>
      <x:c r="L66" s="4"/>
      <x:c r="M66" s="4" t="str">
        <x:v>Not fully realized by 2026-10-15; overdue, not an observed delay</x:v>
      </x:c>
      <x:c r="N66" s="4" t="str">
        <x:v>MEDIUM</x:v>
      </x:c>
      <x:c r="O66" s="4" t="str">
        <x:v>AUTHOR_ADAPTATION_CHECKED</x:v>
      </x:c>
      <x:c r="P66" s="4" t="n">
        <x:v>1</x:v>
      </x:c>
      <x:c r="Q66" s="4" t="str">
        <x:v>https://iranscope.ghandchi.com/Anthology/Kurzweil-SM.htm</x:v>
      </x:c>
      <x:c r="R66" s="4" t="str">
        <x:v>https://www.christies.com/stories/a-collaboration-between-two-artists-one-human-one-a-machine-0cd01f4e232f4279a525a446d60d4cd1
https://www.thekurzweillibrary.com/images/How-My-Predictions-Are-Faring.pdf</x:v>
      </x:c>
    </x:row>
    <x:row r="67" ht="64" customHeight="1">
      <x:c r="A67" s="4" t="str">
        <x:v>K066</x:v>
      </x:c>
      <x:c r="B67" s="4" t="str">
        <x:v>Nonmusicians compose music with software</x:v>
      </x:c>
      <x:c r="C67" s="4" t="str">
        <x:v>Media, education &amp; culture</x:v>
      </x:c>
      <x:c r="D67" s="4" t="n">
        <x:v>2009</x:v>
      </x:c>
      <x:c r="E67" s="4" t="str">
        <x:v>FULFILLED</x:v>
      </x:c>
      <x:c r="F67" s="4" t="str">
        <x:v>FULFILLED</x:v>
      </x:c>
      <x:c r="G67" s="4" t="str">
        <x:v>CORRECT</x:v>
      </x:c>
      <x:c r="H67" s="4" t="str">
        <x:v>CORRECT</x:v>
      </x:c>
      <x:c r="I67" s="4" t="str">
        <x:v>CORRECT</x:v>
      </x:c>
      <x:c r="J67" s="4" t="n">
        <x:v>1</x:v>
      </x:c>
      <x:c r="K67" s="4"/>
      <x:c r="L67" s="4" t="n">
        <x:v>2004</x:v>
      </x:c>
      <x:c r="M67" s="4" t="str">
        <x:v>Documented by 2004</x:v>
      </x:c>
      <x:c r="N67" s="4" t="str">
        <x:v>HIGH</x:v>
      </x:c>
      <x:c r="O67" s="4" t="str">
        <x:v>AUTHOR_ADAPTATION_CHECKED</x:v>
      </x:c>
      <x:c r="P67" s="4" t="n">
        <x:v>1</x:v>
      </x:c>
      <x:c r="Q67" s="4" t="str">
        <x:v>https://iranscope.ghandchi.com/Anthology/Kurzweil-SM.htm</x:v>
      </x:c>
      <x:c r="R67" s="4" t="str">
        <x:v>https://www.apple.com/newsroom/2004/01/06Apple-Announces-iLife-04/</x:v>
      </x:c>
    </x:row>
    <x:row r="68" ht="64" customHeight="1">
      <x:c r="A68" s="4" t="str">
        <x:v>K067</x:v>
      </x:c>
      <x:c r="B68" s="4" t="str">
        <x:v>Remote touch technology begins to emerge</x:v>
      </x:c>
      <x:c r="C68" s="4" t="str">
        <x:v>Interfaces &amp; virtual worlds</x:v>
      </x:c>
      <x:c r="D68" s="4" t="n">
        <x:v>2009</x:v>
      </x:c>
      <x:c r="E68" s="4" t="str">
        <x:v>FULFILLED</x:v>
      </x:c>
      <x:c r="F68" s="4" t="str">
        <x:v>FULFILLED</x:v>
      </x:c>
      <x:c r="G68" s="4" t="str">
        <x:v>CORRECT</x:v>
      </x:c>
      <x:c r="H68" s="4" t="str">
        <x:v>CORRECT</x:v>
      </x:c>
      <x:c r="I68" s="4" t="str">
        <x:v>CORRECT</x:v>
      </x:c>
      <x:c r="J68" s="4" t="n">
        <x:v>1</x:v>
      </x:c>
      <x:c r="K68" s="4"/>
      <x:c r="L68" s="4" t="n">
        <x:v>2002</x:v>
      </x:c>
      <x:c r="M68" s="4" t="str">
        <x:v>Documented by 2002</x:v>
      </x:c>
      <x:c r="N68" s="4" t="str">
        <x:v>HIGH</x:v>
      </x:c>
      <x:c r="O68" s="4" t="str">
        <x:v>AUTHOR_ADAPTATION_CHECKED</x:v>
      </x:c>
      <x:c r="P68" s="4" t="n">
        <x:v>1</x:v>
      </x:c>
      <x:c r="Q68" s="4" t="str">
        <x:v>https://iranscope.ghandchi.com/Anthology/Kurzweil-SM.htm</x:v>
      </x:c>
      <x:c r="R68" s="4" t="str">
        <x:v>https://journals.sagepub.com/doi/10.1068/d394t
https://arxiv.org/abs/2508.20831</x:v>
      </x:c>
    </x:row>
    <x:row r="69" ht="64" customHeight="1">
      <x:c r="A69" s="4" t="str">
        <x:v>K068</x:v>
      </x:c>
      <x:c r="B69" s="4" t="str">
        <x:v>Photorealistic virtual rooms replace text chat</x:v>
      </x:c>
      <x:c r="C69" s="4" t="str">
        <x:v>Interfaces &amp; virtual worlds</x:v>
      </x:c>
      <x:c r="D69" s="4" t="n">
        <x:v>2009</x:v>
      </x:c>
      <x:c r="E69" s="4" t="str">
        <x:v>NOT_FULFILLED</x:v>
      </x:c>
      <x:c r="F69" s="4" t="str">
        <x:v>NOT_FULFILLED</x:v>
      </x:c>
      <x:c r="G69" s="4" t="str">
        <x:v>WRONG</x:v>
      </x:c>
      <x:c r="H69" s="4" t="str">
        <x:v>WRONG</x:v>
      </x:c>
      <x:c r="I69" s="4" t="str">
        <x:v>LATE</x:v>
      </x:c>
      <x:c r="J69" s="4" t="n">
        <x:v>1</x:v>
      </x:c>
      <x:c r="K69" s="4"/>
      <x:c r="L69" s="4"/>
      <x:c r="M69" s="4" t="str">
        <x:v>Not fully realized by 2026-10-15; overdue, not an observed delay</x:v>
      </x:c>
      <x:c r="N69" s="4" t="str">
        <x:v>MEDIUM</x:v>
      </x:c>
      <x:c r="O69" s="4" t="str">
        <x:v>AUTHOR_ADAPTATION_CHECKED</x:v>
      </x:c>
      <x:c r="P69" s="4" t="n">
        <x:v>1</x:v>
      </x:c>
      <x:c r="Q69" s="4" t="str">
        <x:v>https://iranscope.ghandchi.com/Anthology/Kurzweil-SM.htm</x:v>
      </x:c>
      <x:c r="R69" s="4" t="str">
        <x:v>https://www.microsoft.com/en-us/microsoft-365/blog/2019/07/11/microsoft-teams-reaches-13-million-daily-active-users-introduces-4-new-ways-for-teams-to-work-better-together/
https://www.qualcomm.com/news/releases/2019/05/qualcomm-snapdragon-mobile-vr-platform-powers-oculus-quest</x:v>
      </x:c>
    </x:row>
    <x:row r="70" ht="64" customHeight="1">
      <x:c r="A70" s="4" t="str">
        <x:v>K069</x:v>
      </x:c>
      <x:c r="B70" s="4" t="str">
        <x:v>Wireless phones routinely carry live video</x:v>
      </x:c>
      <x:c r="C70" s="4" t="str">
        <x:v>Networks &amp; communications</x:v>
      </x:c>
      <x:c r="D70" s="4" t="n">
        <x:v>2009</x:v>
      </x:c>
      <x:c r="E70" s="4" t="str">
        <x:v>PARTLY_FULFILLED</x:v>
      </x:c>
      <x:c r="F70" s="4" t="str">
        <x:v>FULFILLED</x:v>
      </x:c>
      <x:c r="G70" s="4" t="str">
        <x:v>LATE</x:v>
      </x:c>
      <x:c r="H70" s="4" t="str">
        <x:v>LATE</x:v>
      </x:c>
      <x:c r="I70" s="4" t="str">
        <x:v>LATE</x:v>
      </x:c>
      <x:c r="J70" s="4" t="n">
        <x:v>1</x:v>
      </x:c>
      <x:c r="K70" s="4"/>
      <x:c r="L70" s="4" t="n">
        <x:v>2019</x:v>
      </x:c>
      <x:c r="M70" s="4" t="str">
        <x:v>Documented by 2019; after 2009, no later than 2019</x:v>
      </x:c>
      <x:c r="N70" s="4" t="str">
        <x:v>MEDIUM</x:v>
      </x:c>
      <x:c r="O70" s="4" t="str">
        <x:v>AUTHOR_ADAPTATION_CHECKED</x:v>
      </x:c>
      <x:c r="P70" s="4" t="n">
        <x:v>1</x:v>
      </x:c>
      <x:c r="Q70" s="4" t="str">
        <x:v>https://iranscope.ghandchi.com/Anthology/Kurzweil-SM.htm</x:v>
      </x:c>
      <x:c r="R70" s="4" t="str">
        <x:v>https://newsroom.cisco.com/c/r/newsroom/en/us/a/y2007/m03/cisco-announces-agreement-to-acquire-webex.html
https://www.apple.com/newsroom/2017/09/the-future-is-here-iphone-x/
https://www.microsoft.com/en-us/microsoft-365/blog/2019/07/11/microsoft-teams-reaches-13-million-daily-active-users-introduces-4-new-ways-for-teams-to-work-better-together/</x:v>
      </x:c>
    </x:row>
    <x:row r="71" ht="64" customHeight="1">
      <x:c r="A71" s="4" t="str">
        <x:v>K070</x:v>
      </x:c>
      <x:c r="B71" s="4" t="str">
        <x:v>Electronic storage fully replaces rotating media</x:v>
      </x:c>
      <x:c r="C71" s="4" t="str">
        <x:v>Computing hardware</x:v>
      </x:c>
      <x:c r="D71" s="4" t="n">
        <x:v>2019</x:v>
      </x:c>
      <x:c r="E71" s="4" t="str">
        <x:v>NOT_FULFILLED</x:v>
      </x:c>
      <x:c r="F71" s="4" t="str">
        <x:v>NOT_FULFILLED</x:v>
      </x:c>
      <x:c r="G71" s="4" t="str">
        <x:v>WRONG</x:v>
      </x:c>
      <x:c r="H71" s="4" t="str">
        <x:v>WRONG</x:v>
      </x:c>
      <x:c r="I71" s="4" t="str">
        <x:v>CORRECT</x:v>
      </x:c>
      <x:c r="J71" s="4" t="n">
        <x:v>1</x:v>
      </x:c>
      <x:c r="K71" s="4"/>
      <x:c r="L71" s="4"/>
      <x:c r="M71" s="4" t="str">
        <x:v>Not fully realized by 2026-10-15; overdue, not an observed delay</x:v>
      </x:c>
      <x:c r="N71" s="4" t="str">
        <x:v>HIGH</x:v>
      </x:c>
      <x:c r="O71" s="4" t="str">
        <x:v>AUTHOR_ADAPTATION_CHECKED</x:v>
      </x:c>
      <x:c r="P71" s="4" t="n">
        <x:v>1</x:v>
      </x:c>
      <x:c r="Q71" s="4" t="str">
        <x:v>https://iranscope.ghandchi.com/Anthology/Kurzweil-SM.htm</x:v>
      </x:c>
      <x:c r="R71" s="4" t="str">
        <x:v>https://www.seagate.com/stories/articles/seagate-32TB-capacities-now-shipping-to-channel-and-retail-partners-globally/</x:v>
      </x:c>
    </x:row>
    <x:row r="72" ht="64" customHeight="1">
      <x:c r="A72" s="4" t="str">
        <x:v>K071</x:v>
      </x:c>
      <x:c r="B72" s="4" t="str">
        <x:v>Carbon-nanotube circuitry becomes prevalent</x:v>
      </x:c>
      <x:c r="C72" s="4" t="str">
        <x:v>Computing hardware</x:v>
      </x:c>
      <x:c r="D72" s="4" t="n">
        <x:v>2019</x:v>
      </x:c>
      <x:c r="E72" s="4" t="str">
        <x:v>NOT_FULFILLED</x:v>
      </x:c>
      <x:c r="F72" s="4" t="str">
        <x:v>NOT_FULFILLED</x:v>
      </x:c>
      <x:c r="G72" s="4" t="str">
        <x:v>WRONG</x:v>
      </x:c>
      <x:c r="H72" s="4" t="str">
        <x:v>WRONG</x:v>
      </x:c>
      <x:c r="I72" s="4" t="str">
        <x:v>CORRECT</x:v>
      </x:c>
      <x:c r="J72" s="4" t="n">
        <x:v>1</x:v>
      </x:c>
      <x:c r="K72" s="4"/>
      <x:c r="L72" s="4"/>
      <x:c r="M72" s="4" t="str">
        <x:v>Not fully realized by 2026-10-15; overdue, not an observed delay</x:v>
      </x:c>
      <x:c r="N72" s="4" t="str">
        <x:v>HIGH</x:v>
      </x:c>
      <x:c r="O72" s="4" t="str">
        <x:v>AUTHOR_ADAPTATION_CHECKED</x:v>
      </x:c>
      <x:c r="P72" s="4" t="n">
        <x:v>1</x:v>
      </x:c>
      <x:c r="Q72" s="4" t="str">
        <x:v>https://iranscope.ghandchi.com/Anthology/Kurzweil-SM.htm</x:v>
      </x:c>
      <x:c r="R72" s="4" t="str">
        <x:v>https://news.mit.edu/2019/carbon-nanotubes-microprocessor-0828
https://www.nvidia.com/en-us/geforce/graphics-cards/50-series/rtx-5080/</x:v>
      </x:c>
    </x:row>
    <x:row r="73" ht="64" customHeight="1">
      <x:c r="A73" s="4" t="str">
        <x:v>K072</x:v>
      </x:c>
      <x:c r="B73" s="4" t="str">
        <x:v>Neural and genetic methods consume most computation</x:v>
      </x:c>
      <x:c r="C73" s="4" t="str">
        <x:v>AI &amp; software</x:v>
      </x:c>
      <x:c r="D73" s="4" t="n">
        <x:v>2019</x:v>
      </x:c>
      <x:c r="E73" s="4" t="str">
        <x:v>NOT_FULFILLED</x:v>
      </x:c>
      <x:c r="F73" s="4" t="str">
        <x:v>PARTLY_FULFILLED</x:v>
      </x:c>
      <x:c r="G73" s="4" t="str">
        <x:v>PARTIAL</x:v>
      </x:c>
      <x:c r="H73" s="4" t="str">
        <x:v>PARTIAL</x:v>
      </x:c>
      <x:c r="I73" s="4" t="str">
        <x:v>CORRECT</x:v>
      </x:c>
      <x:c r="J73" s="4" t="n">
        <x:v>1</x:v>
      </x:c>
      <x:c r="K73" s="4"/>
      <x:c r="L73" s="4"/>
      <x:c r="M73" s="4" t="str">
        <x:v>Not fully realized by 2026-10-15; overdue, not an observed delay</x:v>
      </x:c>
      <x:c r="N73" s="4" t="str">
        <x:v>MEDIUM</x:v>
      </x:c>
      <x:c r="O73" s="4" t="str">
        <x:v>AUTHOR_ADAPTATION_CHECKED</x:v>
      </x:c>
      <x:c r="P73" s="4" t="n">
        <x:v>1</x:v>
      </x:c>
      <x:c r="Q73" s="4" t="str">
        <x:v>https://iranscope.ghandchi.com/Anthology/Kurzweil-SM.htm</x:v>
      </x:c>
      <x:c r="R73" s="4" t="str">
        <x:v>https://papers.nips.cc/paper/4824-imagenet-classification-with-deep-convolutional-neural-networks
https://investor.nvidia.com/news/press-release-details/2025/NVIDIA-Blackwell-GeForce-RTX-50-Series-Opens-New-World-of-AI-Computer-Graphics/default.aspx
https://cloud.google.com/blog/products/ai-machine-learning/announcing-agents-to-payments-ap2-protocol</x:v>
      </x:c>
    </x:row>
    <x:row r="74" ht="64" customHeight="1">
      <x:c r="A74" s="4" t="str">
        <x:v>K073</x:v>
      </x:c>
      <x:c r="B74" s="4" t="str">
        <x:v>Brain scanning clarifies specialized neural regions</x:v>
      </x:c>
      <x:c r="C74" s="4" t="str">
        <x:v>Neuroscience &amp; human augmentation</x:v>
      </x:c>
      <x:c r="D74" s="4" t="n">
        <x:v>2019</x:v>
      </x:c>
      <x:c r="E74" s="4" t="str">
        <x:v>FULFILLED</x:v>
      </x:c>
      <x:c r="F74" s="4" t="str">
        <x:v>FULFILLED</x:v>
      </x:c>
      <x:c r="G74" s="4" t="str">
        <x:v>CORRECT</x:v>
      </x:c>
      <x:c r="H74" s="4" t="str">
        <x:v>PARTIAL</x:v>
      </x:c>
      <x:c r="I74" s="4" t="str">
        <x:v>CORRECT</x:v>
      </x:c>
      <x:c r="J74" s="4" t="n">
        <x:v>1</x:v>
      </x:c>
      <x:c r="K74" s="4"/>
      <x:c r="L74" s="4" t="n">
        <x:v>2016</x:v>
      </x:c>
      <x:c r="M74" s="4" t="str">
        <x:v>Documented by 2016</x:v>
      </x:c>
      <x:c r="N74" s="4" t="str">
        <x:v>MEDIUM</x:v>
      </x:c>
      <x:c r="O74" s="4" t="str">
        <x:v>AUTHOR_ADAPTATION_CHECKED</x:v>
      </x:c>
      <x:c r="P74" s="4" t="n">
        <x:v>1</x:v>
      </x:c>
      <x:c r="Q74" s="4" t="str">
        <x:v>https://iranscope.ghandchi.com/Anthology/Kurzweil-SM.htm</x:v>
      </x:c>
      <x:c r="R74" s="4" t="str">
        <x:v>https://www.nature.com/articles/nature18933
https://www.nimh.nih.gov/news/science-updates/2023/scientists-unveil-complete-cell-map-of-a-whole-mammalian-brain
https://www.nature.com/articles/s41586-024-07686-5</x:v>
      </x:c>
    </x:row>
    <x:row r="75" ht="64" customHeight="1">
      <x:c r="A75" s="4" t="str">
        <x:v>K074</x:v>
      </x:c>
      <x:c r="B75" s="4" t="str">
        <x:v>Tiny diffraction cameras replace most lenses</x:v>
      </x:c>
      <x:c r="C75" s="4" t="str">
        <x:v>Computing hardware</x:v>
      </x:c>
      <x:c r="D75" s="4" t="n">
        <x:v>2019</x:v>
      </x:c>
      <x:c r="E75" s="4" t="str">
        <x:v>NOT_FULFILLED</x:v>
      </x:c>
      <x:c r="F75" s="4" t="str">
        <x:v>NOT_FULFILLED</x:v>
      </x:c>
      <x:c r="G75" s="4" t="str">
        <x:v>WRONG</x:v>
      </x:c>
      <x:c r="H75" s="4" t="str">
        <x:v>WRONG</x:v>
      </x:c>
      <x:c r="I75" s="4" t="str">
        <x:v>CORRECT</x:v>
      </x:c>
      <x:c r="J75" s="4" t="n">
        <x:v>1</x:v>
      </x:c>
      <x:c r="K75" s="4"/>
      <x:c r="L75" s="4"/>
      <x:c r="M75" s="4" t="str">
        <x:v>Not fully realized by 2026-10-15; overdue, not an observed delay</x:v>
      </x:c>
      <x:c r="N75" s="4" t="str">
        <x:v>MEDIUM</x:v>
      </x:c>
      <x:c r="O75" s="4" t="str">
        <x:v>AUTHOR_ADAPTATION_CHECKED</x:v>
      </x:c>
      <x:c r="P75" s="4" t="n">
        <x:v>1</x:v>
      </x:c>
      <x:c r="Q75" s="4" t="str">
        <x:v>https://iranscope.ghandchi.com/Anthology/Kurzweil-SM.htm</x:v>
      </x:c>
      <x:c r="R75" s="4" t="str">
        <x:v>https://www.apple.com/newsroom/2017/09/the-future-is-here-iphone-x/
https://global.canon/en/news/2026/20260224.html</x:v>
      </x:c>
    </x:row>
    <x:row r="76" ht="64" customHeight="1">
      <x:c r="A76" s="4" t="str">
        <x:v>K075</x:v>
      </x:c>
      <x:c r="B76" s="4" t="str">
        <x:v>Calls provide convincing three-dimensional presence</x:v>
      </x:c>
      <x:c r="C76" s="4" t="str">
        <x:v>Interfaces &amp; virtual worlds</x:v>
      </x:c>
      <x:c r="D76" s="4" t="n">
        <x:v>2019</x:v>
      </x:c>
      <x:c r="E76" s="4" t="str">
        <x:v>NOT_FULFILLED</x:v>
      </x:c>
      <x:c r="F76" s="4" t="str">
        <x:v>PARTLY_FULFILLED</x:v>
      </x:c>
      <x:c r="G76" s="4" t="str">
        <x:v>PARTIAL</x:v>
      </x:c>
      <x:c r="H76" s="4" t="str">
        <x:v>PARTIAL</x:v>
      </x:c>
      <x:c r="I76" s="4" t="str">
        <x:v>LATE</x:v>
      </x:c>
      <x:c r="J76" s="4" t="n">
        <x:v>1</x:v>
      </x:c>
      <x:c r="K76" s="4"/>
      <x:c r="L76" s="4"/>
      <x:c r="M76" s="4" t="str">
        <x:v>Not fully realized by 2026-10-15; overdue, not an observed delay</x:v>
      </x:c>
      <x:c r="N76" s="4" t="str">
        <x:v>MEDIUM</x:v>
      </x:c>
      <x:c r="O76" s="4" t="str">
        <x:v>AUTHOR_ADAPTATION_CHECKED</x:v>
      </x:c>
      <x:c r="P76" s="4" t="n">
        <x:v>1</x:v>
      </x:c>
      <x:c r="Q76" s="4" t="str">
        <x:v>https://iranscope.ghandchi.com/Anthology/Kurzweil-SM.htm</x:v>
      </x:c>
      <x:c r="R76" s="4" t="str">
        <x:v>https://www.hp.com/us-en/newsroom/press-releases/2025/hp-dimension-with-google-beam-at-infocomm-2025.html
https://www.microsoft.com/en-us/microsoft-365/blog/2019/07/11/microsoft-teams-reaches-13-million-daily-active-users-introduces-4-new-ways-for-teams-to-work-better-together/</x:v>
      </x:c>
    </x:row>
    <x:row r="77" ht="64" customHeight="1">
      <x:c r="A77" s="4" t="str">
        <x:v>K076</x:v>
      </x:c>
      <x:c r="B77" s="4" t="str">
        <x:v>Most meetings need no physical co-location</x:v>
      </x:c>
      <x:c r="C77" s="4" t="str">
        <x:v>Economy &amp; society</x:v>
      </x:c>
      <x:c r="D77" s="4" t="n">
        <x:v>2019</x:v>
      </x:c>
      <x:c r="E77" s="4" t="str">
        <x:v>FULFILLED</x:v>
      </x:c>
      <x:c r="F77" s="4" t="str">
        <x:v>FULFILLED</x:v>
      </x:c>
      <x:c r="G77" s="4" t="str">
        <x:v>CORRECT</x:v>
      </x:c>
      <x:c r="H77" s="4" t="str">
        <x:v>CORRECT</x:v>
      </x:c>
      <x:c r="I77" s="4" t="str">
        <x:v>CORRECT</x:v>
      </x:c>
      <x:c r="J77" s="4" t="n">
        <x:v>1</x:v>
      </x:c>
      <x:c r="K77" s="4"/>
      <x:c r="L77" s="4" t="n">
        <x:v>2019</x:v>
      </x:c>
      <x:c r="M77" s="4" t="str">
        <x:v>Documented by 2019</x:v>
      </x:c>
      <x:c r="N77" s="4" t="str">
        <x:v>HIGH</x:v>
      </x:c>
      <x:c r="O77" s="4" t="str">
        <x:v>AUTHOR_ADAPTATION_CHECKED</x:v>
      </x:c>
      <x:c r="P77" s="4" t="n">
        <x:v>1</x:v>
      </x:c>
      <x:c r="Q77" s="4" t="str">
        <x:v>https://iranscope.ghandchi.com/Anthology/Kurzweil-SM.htm</x:v>
      </x:c>
      <x:c r="R77" s="4" t="str">
        <x:v>https://newsroom.cisco.com/c/r/newsroom/en/us/a/y2007/m03/cisco-announces-agreement-to-acquire-webex.html
https://www.microsoft.com/en-us/microsoft-365/blog/2019/07/11/microsoft-teams-reaches-13-million-daily-active-users-introduces-4-new-ways-for-teams-to-work-better-together/</x:v>
      </x:c>
    </x:row>
    <x:row r="78" ht="64" customHeight="1">
      <x:c r="A78" s="4" t="str">
        <x:v>K077</x:v>
      </x:c>
      <x:c r="B78" s="4" t="str">
        <x:v>Practical speech translation covers common language pairs</x:v>
      </x:c>
      <x:c r="C78" s="4" t="str">
        <x:v>AI &amp; software</x:v>
      </x:c>
      <x:c r="D78" s="4" t="n">
        <x:v>2019</x:v>
      </x:c>
      <x:c r="E78" s="4" t="str">
        <x:v>FULFILLED</x:v>
      </x:c>
      <x:c r="F78" s="4" t="str">
        <x:v>FULFILLED</x:v>
      </x:c>
      <x:c r="G78" s="4" t="str">
        <x:v>CORRECT</x:v>
      </x:c>
      <x:c r="H78" s="4" t="str">
        <x:v>PARTIAL</x:v>
      </x:c>
      <x:c r="I78" s="4" t="str">
        <x:v>CORRECT</x:v>
      </x:c>
      <x:c r="J78" s="4" t="n">
        <x:v>1</x:v>
      </x:c>
      <x:c r="K78" s="4"/>
      <x:c r="L78" s="4" t="n">
        <x:v>2015</x:v>
      </x:c>
      <x:c r="M78" s="4" t="str">
        <x:v>Documented by 2015</x:v>
      </x:c>
      <x:c r="N78" s="4" t="str">
        <x:v>MEDIUM</x:v>
      </x:c>
      <x:c r="O78" s="4" t="str">
        <x:v>AUTHOR_ADAPTATION_CHECKED</x:v>
      </x:c>
      <x:c r="P78" s="4" t="n">
        <x:v>1</x:v>
      </x:c>
      <x:c r="Q78" s="4" t="str">
        <x:v>https://iranscope.ghandchi.com/Anthology/Kurzweil-SM.htm</x:v>
      </x:c>
      <x:c r="R78" s="4" t="str">
        <x:v>https://translate.googleblog.com/2011/10/start-conversation-with-google.html
https://translate.googleblog.com/2015/</x:v>
      </x:c>
    </x:row>
    <x:row r="79" ht="64" customHeight="1">
      <x:c r="A79" s="4" t="str">
        <x:v>K078</x:v>
      </x:c>
      <x:c r="B79" s="4" t="str">
        <x:v>AI tutors deliver most learning</x:v>
      </x:c>
      <x:c r="C79" s="4" t="str">
        <x:v>Media, education &amp; culture</x:v>
      </x:c>
      <x:c r="D79" s="4" t="n">
        <x:v>2019</x:v>
      </x:c>
      <x:c r="E79" s="4" t="str">
        <x:v>NOT_FULFILLED</x:v>
      </x:c>
      <x:c r="F79" s="4" t="str">
        <x:v>NOT_FULFILLED</x:v>
      </x:c>
      <x:c r="G79" s="4" t="str">
        <x:v>WRONG</x:v>
      </x:c>
      <x:c r="H79" s="4" t="str">
        <x:v>WRONG</x:v>
      </x:c>
      <x:c r="I79" s="4" t="str">
        <x:v>LATE</x:v>
      </x:c>
      <x:c r="J79" s="4" t="n">
        <x:v>1</x:v>
      </x:c>
      <x:c r="K79" s="4"/>
      <x:c r="L79" s="4"/>
      <x:c r="M79" s="4" t="str">
        <x:v>Not fully realized by 2026-10-15; overdue, not an observed delay</x:v>
      </x:c>
      <x:c r="N79" s="4" t="str">
        <x:v>MEDIUM</x:v>
      </x:c>
      <x:c r="O79" s="4" t="str">
        <x:v>AUTHOR_ADAPTATION_CHECKED</x:v>
      </x:c>
      <x:c r="P79" s="4" t="n">
        <x:v>1</x:v>
      </x:c>
      <x:c r="Q79" s="4" t="str">
        <x:v>https://iranscope.ghandchi.com/Anthology/Kurzweil-SM.htm</x:v>
      </x:c>
      <x:c r="R79" s="4" t="str">
        <x:v>https://ies.ed.gov/use-work/resource-library/report/first-look-ed-tab/teachers-use-educational-technology-u-s-public-schools-2009
https://nces.ed.gov/surveys/annualreports/topical-studies/covid/theme/elementary-and-secondary-education-technology-support/
https://www.unesco.org/en/teachers-cannot-be-coded
https://www.microsoft.com/en-us/microsoft-365/blog/2019/07/11/microsoft-teams-reaches-13-million-daily-active-users-introduces-4-new-ways-for-teams-to-work-better-together/</x:v>
      </x:c>
    </x:row>
    <x:row r="80" ht="64" customHeight="1">
      <x:c r="A80" s="4" t="str">
        <x:v>K079</x:v>
      </x:c>
      <x:c r="B80" s="4" t="str">
        <x:v>Workers spend most time learning</x:v>
      </x:c>
      <x:c r="C80" s="4" t="str">
        <x:v>Economy &amp; society</x:v>
      </x:c>
      <x:c r="D80" s="4" t="n">
        <x:v>2019</x:v>
      </x:c>
      <x:c r="E80" s="4" t="str">
        <x:v>NOT_FULFILLED</x:v>
      </x:c>
      <x:c r="F80" s="4" t="str">
        <x:v>NOT_FULFILLED</x:v>
      </x:c>
      <x:c r="G80" s="4" t="str">
        <x:v>WRONG</x:v>
      </x:c>
      <x:c r="H80" s="4" t="str">
        <x:v>WRONG</x:v>
      </x:c>
      <x:c r="I80" s="4" t="str">
        <x:v>LATE</x:v>
      </x:c>
      <x:c r="J80" s="4" t="n">
        <x:v>1</x:v>
      </x:c>
      <x:c r="K80" s="4"/>
      <x:c r="L80" s="4"/>
      <x:c r="M80" s="4" t="str">
        <x:v>Not fully realized by 2026-10-15; overdue, not an observed delay</x:v>
      </x:c>
      <x:c r="N80" s="4" t="str">
        <x:v>MEDIUM</x:v>
      </x:c>
      <x:c r="O80" s="4" t="str">
        <x:v>AUTHOR_ADAPTATION_CHECKED</x:v>
      </x:c>
      <x:c r="P80" s="4" t="n">
        <x:v>1</x:v>
      </x:c>
      <x:c r="Q80" s="4" t="str">
        <x:v>https://iranscope.ghandchi.com/Anthology/Kurzweil-SM.htm</x:v>
      </x:c>
      <x:c r="R80" s="4" t="str">
        <x:v>https://www.bls.gov/opub/mlr/2019/article/time-use-of-millennials-and-nonmillennials.htm</x:v>
      </x:c>
    </x:row>
    <x:row r="81" ht="64" customHeight="1">
      <x:c r="A81" s="4" t="str">
        <x:v>K080</x:v>
      </x:c>
      <x:c r="B81" s="4" t="str">
        <x:v>Reliable household robots become ubiquitous</x:v>
      </x:c>
      <x:c r="C81" s="4" t="str">
        <x:v>Robotics &amp; transportation</x:v>
      </x:c>
      <x:c r="D81" s="4" t="n">
        <x:v>2019</x:v>
      </x:c>
      <x:c r="E81" s="4" t="str">
        <x:v>PARTLY_FULFILLED</x:v>
      </x:c>
      <x:c r="F81" s="4" t="str">
        <x:v>PARTLY_FULFILLED</x:v>
      </x:c>
      <x:c r="G81" s="4" t="str">
        <x:v>PARTIAL</x:v>
      </x:c>
      <x:c r="H81" s="4" t="str">
        <x:v>PARTIAL</x:v>
      </x:c>
      <x:c r="I81" s="4" t="str">
        <x:v>CORRECT</x:v>
      </x:c>
      <x:c r="J81" s="4" t="n">
        <x:v>1</x:v>
      </x:c>
      <x:c r="K81" s="4"/>
      <x:c r="L81" s="4"/>
      <x:c r="M81" s="4" t="str">
        <x:v>Not fully realized by 2026-10-15; overdue, not an observed delay</x:v>
      </x:c>
      <x:c r="N81" s="4" t="str">
        <x:v>MEDIUM</x:v>
      </x:c>
      <x:c r="O81" s="4" t="str">
        <x:v>AUTHOR_ADAPTATION_CHECKED</x:v>
      </x:c>
      <x:c r="P81" s="4" t="n">
        <x:v>1</x:v>
      </x:c>
      <x:c r="Q81" s="4" t="str">
        <x:v>https://iranscope.ghandchi.com/Anthology/Kurzweil-SM.htm</x:v>
      </x:c>
      <x:c r="R81" s="4" t="str">
        <x:v>https://ifr.org/ifr-press-releases/news/service-robots-record-sales-worldwide-up-32
https://investor.irobot.com/news-releases/news-release-details/irobot-achieves-milestone-home-robot-market</x:v>
      </x:c>
    </x:row>
    <x:row r="82" ht="64" customHeight="1">
      <x:c r="A82" s="4" t="str">
        <x:v>K081</x:v>
      </x:c>
      <x:c r="B82" s="4" t="str">
        <x:v>Transportation accidents become very rare</x:v>
      </x:c>
      <x:c r="C82" s="4" t="str">
        <x:v>Robotics &amp; transportation</x:v>
      </x:c>
      <x:c r="D82" s="4" t="n">
        <x:v>2019</x:v>
      </x:c>
      <x:c r="E82" s="4" t="str">
        <x:v>NOT_FULFILLED</x:v>
      </x:c>
      <x:c r="F82" s="4" t="str">
        <x:v>NOT_FULFILLED</x:v>
      </x:c>
      <x:c r="G82" s="4" t="str">
        <x:v>WRONG</x:v>
      </x:c>
      <x:c r="H82" s="4" t="str">
        <x:v>WRONG</x:v>
      </x:c>
      <x:c r="I82" s="4" t="str">
        <x:v>PARTIAL</x:v>
      </x:c>
      <x:c r="J82" s="4" t="n">
        <x:v>1</x:v>
      </x:c>
      <x:c r="K82" s="4"/>
      <x:c r="L82" s="4"/>
      <x:c r="M82" s="4" t="str">
        <x:v>Not fully realized by 2026-10-15; overdue, not an observed delay</x:v>
      </x:c>
      <x:c r="N82" s="4" t="str">
        <x:v>HIGH</x:v>
      </x:c>
      <x:c r="O82" s="4" t="str">
        <x:v>AUTHOR_ADAPTATION_CHECKED</x:v>
      </x:c>
      <x:c r="P82" s="4" t="n">
        <x:v>1</x:v>
      </x:c>
      <x:c r="Q82" s="4" t="str">
        <x:v>https://iranscope.ghandchi.com/Anthology/Kurzweil-SM.htm</x:v>
      </x:c>
      <x:c r="R82" s="4" t="str">
        <x:v>https://www.who.int/news/item/13-12-2023-despite-notable-progress-road-safety-remains-urgent-global-issue</x:v>
      </x:c>
    </x:row>
    <x:row r="83" ht="64" customHeight="1">
      <x:c r="A83" s="4" t="str">
        <x:v>K082</x:v>
      </x:c>
      <x:c r="B83" s="4" t="str">
        <x:v>Human-machine creative collaborations gain recognition</x:v>
      </x:c>
      <x:c r="C83" s="4" t="str">
        <x:v>Media, education &amp; culture</x:v>
      </x:c>
      <x:c r="D83" s="4" t="n">
        <x:v>2019</x:v>
      </x:c>
      <x:c r="E83" s="4" t="str">
        <x:v>FULFILLED</x:v>
      </x:c>
      <x:c r="F83" s="4" t="str">
        <x:v>FULFILLED</x:v>
      </x:c>
      <x:c r="G83" s="4" t="str">
        <x:v>CORRECT</x:v>
      </x:c>
      <x:c r="H83" s="4" t="str">
        <x:v>CORRECT</x:v>
      </x:c>
      <x:c r="I83" s="4" t="str">
        <x:v>CORRECT</x:v>
      </x:c>
      <x:c r="J83" s="4" t="n">
        <x:v>1</x:v>
      </x:c>
      <x:c r="K83" s="4"/>
      <x:c r="L83" s="4" t="n">
        <x:v>2018</x:v>
      </x:c>
      <x:c r="M83" s="4" t="str">
        <x:v>Documented by 2018</x:v>
      </x:c>
      <x:c r="N83" s="4" t="str">
        <x:v>HIGH</x:v>
      </x:c>
      <x:c r="O83" s="4" t="str">
        <x:v>AUTHOR_ADAPTATION_CHECKED</x:v>
      </x:c>
      <x:c r="P83" s="4" t="n">
        <x:v>1</x:v>
      </x:c>
      <x:c r="Q83" s="4" t="str">
        <x:v>https://iranscope.ghandchi.com/Anthology/Kurzweil-SM.htm</x:v>
      </x:c>
      <x:c r="R83" s="4" t="str">
        <x:v>https://www.christies.com/stories/a-collaboration-between-two-artists-one-human-one-a-machine-0cd01f4e232f4279a525a446d60d4cd1</x:v>
      </x:c>
    </x:row>
    <x:row r="84" ht="64" customHeight="1">
      <x:c r="A84" s="4" t="str">
        <x:v>K083</x:v>
      </x:c>
      <x:c r="B84" s="4" t="str">
        <x:v>Major aging and cancer mechanisms become understood</x:v>
      </x:c>
      <x:c r="C84" s="4" t="str">
        <x:v>Biology &amp; medicine</x:v>
      </x:c>
      <x:c r="D84" s="4" t="n">
        <x:v>2019</x:v>
      </x:c>
      <x:c r="E84" s="4" t="str">
        <x:v>FULFILLED</x:v>
      </x:c>
      <x:c r="F84" s="4" t="str">
        <x:v>FULFILLED</x:v>
      </x:c>
      <x:c r="G84" s="4" t="str">
        <x:v>CORRECT</x:v>
      </x:c>
      <x:c r="H84" s="4" t="str">
        <x:v>CORRECT</x:v>
      </x:c>
      <x:c r="I84" s="4" t="str">
        <x:v>CORRECT</x:v>
      </x:c>
      <x:c r="J84" s="4" t="n">
        <x:v>1</x:v>
      </x:c>
      <x:c r="K84" s="4"/>
      <x:c r="L84" s="4" t="n">
        <x:v>2018</x:v>
      </x:c>
      <x:c r="M84" s="4" t="str">
        <x:v>Documented by 2018</x:v>
      </x:c>
      <x:c r="N84" s="4" t="str">
        <x:v>MEDIUM</x:v>
      </x:c>
      <x:c r="O84" s="4" t="str">
        <x:v>AUTHOR_ADAPTATION_CHECKED</x:v>
      </x:c>
      <x:c r="P84" s="4" t="n">
        <x:v>1</x:v>
      </x:c>
      <x:c r="Q84" s="4" t="str">
        <x:v>https://iranscope.ghandchi.com/Anthology/Kurzweil-SM.htm</x:v>
      </x:c>
      <x:c r="R84" s="4" t="str">
        <x:v>https://doi.org/10.1016/j.cell.2013.05.039
https://gdc.cancer.gov/about-data/publications/PanCan-CellOfOrigin
https://pubmed.ncbi.nlm.nih.gov/36599349/</x:v>
      </x:c>
    </x:row>
    <x:row r="85" ht="64" customHeight="1">
      <x:c r="A85" s="4" t="str">
        <x:v>K084</x:v>
      </x:c>
      <x:c r="B85" s="4" t="str">
        <x:v>Simulated people mediate nearly all transactions</x:v>
      </x:c>
      <x:c r="C85" s="4" t="str">
        <x:v>Economy &amp; society</x:v>
      </x:c>
      <x:c r="D85" s="4" t="n">
        <x:v>2019</x:v>
      </x:c>
      <x:c r="E85" s="4" t="str">
        <x:v>NOT_FULFILLED</x:v>
      </x:c>
      <x:c r="F85" s="4" t="str">
        <x:v>PARTLY_FULFILLED</x:v>
      </x:c>
      <x:c r="G85" s="4" t="str">
        <x:v>PARTIAL</x:v>
      </x:c>
      <x:c r="H85" s="4" t="str">
        <x:v>PARTIAL</x:v>
      </x:c>
      <x:c r="I85" s="4" t="str">
        <x:v>LATE</x:v>
      </x:c>
      <x:c r="J85" s="4" t="n">
        <x:v>1</x:v>
      </x:c>
      <x:c r="K85" s="4"/>
      <x:c r="L85" s="4"/>
      <x:c r="M85" s="4" t="str">
        <x:v>Not fully realized by 2026-10-15; overdue, not an observed delay</x:v>
      </x:c>
      <x:c r="N85" s="4" t="str">
        <x:v>MEDIUM</x:v>
      </x:c>
      <x:c r="O85" s="4" t="str">
        <x:v>AUTHOR_ADAPTATION_CHECKED</x:v>
      </x:c>
      <x:c r="P85" s="4" t="n">
        <x:v>1</x:v>
      </x:c>
      <x:c r="Q85" s="4" t="str">
        <x:v>https://iranscope.ghandchi.com/Anthology/Kurzweil-SM.htm</x:v>
      </x:c>
      <x:c r="R85" s="4" t="str">
        <x:v>https://cloud.google.com/blog/products/ai-machine-learning/announcing-agents-to-payments-ap2-protocol
https://cloud.google.com/blog/topics/financial-services/introducing-an-agentic-commerce-solution-for-merchants-from-paypal-and-google-cloud
https://www.census.gov/retail/eCommerce.html</x:v>
      </x:c>
    </x:row>
  </x:sheetData>
  <x:conditionalFormatting sqref="G2:I85">
    <x:cfRule type="expression" dxfId="0" priority="1">
      <x:formula>G2="CORRECT"</x:formula>
    </x:cfRule>
    <x:cfRule type="expression" dxfId="1" priority="2">
      <x:formula>G2="LATE"</x:formula>
    </x:cfRule>
    <x:cfRule type="expression" dxfId="2" priority="3">
      <x:formula>G2="PARTIAL"</x:formula>
    </x:cfRule>
    <x:cfRule type="expression" dxfId="3" priority="4">
      <x:formula>G2="WRONG"</x:formula>
    </x:cfRule>
    <x:cfRule type="expression" dxfId="4" priority="5">
      <x:formula>G2="PENDING"</x:formula>
    </x:cfRule>
  </x:conditionalFormatting>
  <x:pageMargins left="0.7" right="0.7" top="0.75" bottom="0.75" header="0.3" footer="0.3"/>
  <x:tableParts count="1">
    <x:tablePart xmlns:r="http://schemas.openxmlformats.org/officeDocument/2006/relationships" r:id="R8efb3aa2730a4fcf"/>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34" hidden="0" customWidth="1"/>
    <x:col min="3" max="3" width="40" hidden="0" customWidth="1"/>
    <x:col min="4" max="4" width="40" hidden="0" customWidth="1"/>
    <x:col min="5" max="5" width="40" hidden="0" customWidth="1"/>
    <x:col min="6" max="6" width="40" hidden="0" customWidth="1"/>
    <x:col min="7" max="7" width="35" hidden="0" customWidth="1"/>
    <x:col min="8" max="8" width="17" hidden="0" customWidth="1"/>
    <x:col min="9" max="9" width="17" hidden="0" customWidth="1"/>
    <x:col min="10" max="10" width="38" hidden="0" customWidth="1"/>
  </x:cols>
  <x:sheetData>
    <x:row r="1" ht="32" customHeight="1">
      <x:c r="A1" s="9" t="str">
        <x:v>ID</x:v>
      </x:c>
      <x:c r="B1" s="9" t="str">
        <x:v>Prediction</x:v>
      </x:c>
      <x:c r="C1" s="9" t="str">
        <x:v>Reference success criterion</x:v>
      </x:c>
      <x:c r="D1" s="9" t="str">
        <x:v>Deadline judgment</x:v>
      </x:c>
      <x:c r="E1" s="9" t="str">
        <x:v>Current judgment</x:v>
      </x:c>
      <x:c r="F1" s="9" t="str">
        <x:v>Limitations</x:v>
      </x:c>
      <x:c r="G1" s="9" t="str">
        <x:v>Population</x:v>
      </x:c>
      <x:c r="H1" s="9" t="str">
        <x:v>Attribution confidence</x:v>
      </x:c>
      <x:c r="I1" s="9" t="str">
        <x:v>Timing confidence</x:v>
      </x:c>
      <x:c r="J1" s="9" t="str">
        <x:v>Target wording</x:v>
      </x:c>
    </x:row>
    <x:row r="2" ht="155" customHeight="1">
      <x:c r="A2" s="4" t="str">
        <x:v>K001</x:v>
      </x:c>
      <x:c r="B2" s="4" t="str">
        <x:v>Computer defeats the world chess champion</x:v>
      </x:c>
      <x:c r="C2" s="4" t="str">
        <x:v>A machine wins a standard match against the reigning world chess champion; either cited 1998 or 2000 deadline suffices.</x:v>
      </x:c>
      <x:c r="D2" s="4" t="str">
        <x:v>IBM documents Deep Blue’s 1997 match win, before both candidate deadlines.</x:v>
      </x:c>
      <x:c r="E2" s="4" t="str">
        <x:v>The outcome remains a full success. Resolving the edition changes only whether it was one or three years early.</x:v>
      </x:c>
      <x:c r="F2" s="4" t="str">
        <x:v>Attribution to the broad chess forecast is strong; the exact original deadline is less secure. Do not publish a single precise drift.</x:v>
      </x:c>
      <x:c r="G2" s="4" t="str">
        <x:v>Technology markets and relevant users; no universality unless the forecast expressly requires it.</x:v>
      </x:c>
      <x:c r="H2" s="4" t="str">
        <x:v>MEDIUM</x:v>
      </x:c>
      <x:c r="I2" s="4" t="str">
        <x:v>HIGH</x:v>
      </x:c>
      <x:c r="J2" s="4" t="str">
        <x:v>1998 in the author retrospective; 2000 in earlier summaries. Reference 1998; success invariant.</x:v>
      </x:c>
    </x:row>
    <x:row r="3" ht="155" customHeight="1">
      <x:c r="A3" s="4" t="str">
        <x:v>K002</x:v>
      </x:c>
      <x:c r="B3" s="4" t="str">
        <x:v>Lighter and thinner portable computers</x:v>
      </x:c>
      <x:c r="C3" s="4" t="str">
        <x:v>Portable computers are substantially lighter and thinner than typical 1999 notebooks; not every computer must shrink.</x:v>
      </x:c>
      <x:c r="D3" s="4" t="str">
        <x:v>The 2008 MacBook Air was three pounds and at most 0.76 inches thick; earlier PowerBooks provide a concrete size/weight comparator.</x:v>
      </x:c>
      <x:c r="E3" s="4" t="str">
        <x:v>Commercial thin laptops substantiate the direction and magnitude. A single earliest breakthrough year is unnecessary.</x:v>
      </x:c>
      <x:c r="F3" s="4" t="str">
        <x:v>Assessment is conditional on the stated criterion and population. Documented examples establish availability, not universal adoption. The original book edition has not been independently collated.</x:v>
      </x:c>
      <x:c r="G3" s="4" t="str">
        <x:v>Technology markets and relevant users; no universality unless the forecast expressly requires it.</x:v>
      </x:c>
      <x:c r="H3" s="4" t="str">
        <x:v>MEDIUM</x:v>
      </x:c>
      <x:c r="I3" s="4" t="str">
        <x:v>MEDIUM</x:v>
      </x:c>
      <x:c r="J3" s="4" t="str">
        <x:v>2009</x:v>
      </x:c>
    </x:row>
    <x:row r="4" ht="155" customHeight="1">
      <x:c r="A4" s="4" t="str">
        <x:v>K003</x:v>
      </x:c>
      <x:c r="B4" s="4" t="str">
        <x:v>Computers embedded in clothing and jewelry</x:v>
      </x:c>
      <x:c r="C4" s="4" t="str">
        <x:v>Computing in wearable body ornaments is a common product/use category; watches count and every example need not be equally adopted.</x:v>
      </x:c>
      <x:c r="D4" s="4" t="str">
        <x:v>Wearable and embedded devices existed, but the 2009 common-use threshold was only partly reached.</x:v>
      </x:c>
      <x:c r="E4" s="4" t="str">
        <x:v>By the June 2019 US survey, 21% regularly wore a smartwatch or fitness tracker. That is common, not universal; it supports a late wearable-form-factor success.</x:v>
      </x:c>
      <x:c r="F4" s="4" t="str">
        <x:v>US wearable prevalence is a regional proxy. The reference treats the examples as an illustrative class; the fuller clothing-plus-jewelry reading remains partial.</x:v>
      </x:c>
      <x:c r="G4" s="4" t="str">
        <x:v>Technology markets and relevant users; no universality unless the forecast expressly requires it.</x:v>
      </x:c>
      <x:c r="H4" s="4" t="str">
        <x:v>MEDIUM</x:v>
      </x:c>
      <x:c r="I4" s="4" t="str">
        <x:v>MEDIUM</x:v>
      </x:c>
      <x:c r="J4" s="4" t="str">
        <x:v>2009</x:v>
      </x:c>
    </x:row>
    <x:row r="5" ht="155" customHeight="1">
      <x:c r="A5" s="4" t="str">
        <x:v>K004</x:v>
      </x:c>
      <x:c r="B5" s="4" t="str">
        <x:v>At least a dozen body-networked computers</x:v>
      </x:c>
      <x:c r="C5" s="4" t="str">
        <x:v>Typical users have at least twelve separately functional worn/carried computing devices linked in a body network.</x:v>
      </x:c>
      <x:c r="D5" s="4" t="str">
        <x:v>Contemporary device-ownership surveys show a handful of gadgets, not typical twelve-node body networks.</x:v>
      </x:c>
      <x:c r="E5" s="4" t="str">
        <x:v>Phones, watches and earbuds create useful small networks, but not typical twelve-device ensembles. This is a medium-confidence prevalence judgment, not a claim that no enthusiast has twelve devices.</x:v>
      </x:c>
      <x:c r="F5" s="4" t="str">
        <x:v>A phone’s internal chips are not counted as separate body-LAN computers; that redefinition would make the original list of personal functions misleading. No global body-LAN census is available.</x:v>
      </x:c>
      <x:c r="G5" s="4" t="str">
        <x:v>Technology markets and relevant users; no universality unless the forecast expressly requires it.</x:v>
      </x:c>
      <x:c r="H5" s="4" t="str">
        <x:v>MEDIUM</x:v>
      </x:c>
      <x:c r="I5" s="4" t="str">
        <x:v>LOW</x:v>
      </x:c>
      <x:c r="J5" s="4" t="str">
        <x:v>2009</x:v>
      </x:c>
    </x:row>
    <x:row r="6" ht="155" customHeight="1">
      <x:c r="A6" s="4" t="str">
        <x:v>K005</x:v>
      </x:c>
      <x:c r="B6" s="4" t="str">
        <x:v>Personal devices largely without moving parts</x:v>
      </x:c>
      <x:c r="C6" s="4" t="str">
        <x:v>The pocket/worn personal computers in the surrounding passage generally use electronic storage rather than rotating media.</x:v>
      </x:c>
      <x:c r="D6" s="4" t="str">
        <x:v>Flash-based phones and small music players fit the devices described in the passage by 2009.</x:v>
      </x:c>
      <x:c r="E6" s="4" t="str">
        <x:v>This remains a full success for that device class. Buttons, haptic motors and exceptions do not defeat “for the most part.”</x:v>
      </x:c>
      <x:c r="F6" s="4" t="str">
        <x:v>The reference does not extend a contextual claim about truly personal devices to servers. Current cumulative fulfillment does not mean every laptop or computer is fanless.</x:v>
      </x:c>
      <x:c r="G6" s="4" t="str">
        <x:v>Technology markets and relevant users; no universality unless the forecast expressly requires it.</x:v>
      </x:c>
      <x:c r="H6" s="4" t="str">
        <x:v>MEDIUM</x:v>
      </x:c>
      <x:c r="I6" s="4" t="str">
        <x:v>MEDIUM</x:v>
      </x:c>
      <x:c r="J6" s="4" t="str">
        <x:v>2009</x:v>
      </x:c>
    </x:row>
    <x:row r="7" ht="155" customHeight="1">
      <x:c r="A7" s="4" t="str">
        <x:v>K006</x:v>
      </x:c>
      <x:c r="B7" s="4" t="str">
        <x:v>Most portable computers lack keyboards</x:v>
      </x:c>
      <x:c r="C7" s="4" t="str">
        <x:v>Across newly sold portable computing devices, including smartphones and tablets, most lack physical keyboards.</x:v>
      </x:c>
      <x:c r="D7" s="4" t="str">
        <x:v>Touchscreen portables were real by 2009, but widespread keyboard-equipped phones and notebooks make full majority fulfillment unpersuasive then.</x:v>
      </x:c>
      <x:c r="E7" s="4" t="str">
        <x:v>By the mid-2010s, touch-first smartphones dominated portable computing unit volumes. Gartner’s 2013 smartphone/platform mix supports the transition; the exact crossover is not established.</x:v>
      </x:c>
      <x:c r="F7" s="4" t="str">
        <x:v>Physical keyboards, not on-screen keyboards. Reference is new-device unit mix, not lifetime installed computers; 2015 is a conservative documented-era estimate with medium timing confidence, not a counted exact crossover.</x:v>
      </x:c>
      <x:c r="G7" s="4" t="str">
        <x:v>Technology markets and relevant users; no universality unless the forecast expressly requires it.</x:v>
      </x:c>
      <x:c r="H7" s="4" t="str">
        <x:v>MEDIUM</x:v>
      </x:c>
      <x:c r="I7" s="4" t="str">
        <x:v>MEDIUM</x:v>
      </x:c>
      <x:c r="J7" s="4" t="str">
        <x:v>2009</x:v>
      </x:c>
    </x:row>
    <x:row r="8" ht="155" customHeight="1">
      <x:c r="A8" s="4" t="str">
        <x:v>K007</x:v>
      </x:c>
      <x:c r="B8" s="4" t="str">
        <x:v>Home and office servers for most users</x:v>
      </x:c>
      <x:c r="C8" s="4" t="str">
        <x:v>Most users keep large personal digital collections on servers physically at home or in their offices.</x:v>
      </x:c>
      <x:c r="D8" s="4" t="str">
        <x:v>Home/network storage and office servers existed, but home servers were not the typical personal-computing model.</x:v>
      </x:c>
      <x:c r="E8" s="4" t="str">
        <x:v>Large digital collections and server-backed access are ordinary, but cloud hosting displaced much of the predicted home-server architecture.</x:v>
      </x:c>
      <x:c r="F8" s="4" t="str">
        <x:v>Assessment is conditional on the stated criterion and population. Documented examples establish availability, not universal adoption. The original book edition has not been independently collated.</x:v>
      </x:c>
      <x:c r="G8" s="4" t="str">
        <x:v>Technology markets and relevant users; no universality unless the forecast expressly requires it.</x:v>
      </x:c>
      <x:c r="H8" s="4" t="str">
        <x:v>MEDIUM</x:v>
      </x:c>
      <x:c r="I8" s="4" t="str">
        <x:v>LOW</x:v>
      </x:c>
      <x:c r="J8" s="4" t="str">
        <x:v>2009</x:v>
      </x:c>
    </x:row>
    <x:row r="9" ht="155" customHeight="1">
      <x:c r="A9" s="4" t="str">
        <x:v>K008</x:v>
      </x:c>
      <x:c r="B9" s="4" t="str">
        <x:v>Wireless delivery of digital media and software</x:v>
      </x:c>
      <x:c r="C9" s="4" t="str">
        <x:v>Books, music, video and software can routinely be delivered as downloadable wireless data without a physical carrier.</x:v>
      </x:c>
      <x:c r="D9" s="4" t="str">
        <x:v>Kindle, iTunes and the App Store supplied the listed media/software functions before the deadline.</x:v>
      </x:c>
      <x:c r="E9" s="4" t="str">
        <x:v>Continued paper-book or disc sales do not refute routine file distribution; the claim does not require every purchase to be digital.</x:v>
      </x:c>
      <x:c r="F9" s="4" t="str">
        <x:v>Assessment is conditional on the stated criterion and population. Documented examples establish availability, not universal adoption. The original book edition has not been independently collated.</x:v>
      </x:c>
      <x:c r="G9" s="4" t="str">
        <x:v>Technology markets and relevant users; no universality unless the forecast expressly requires it.</x:v>
      </x:c>
      <x:c r="H9" s="4" t="str">
        <x:v>MEDIUM</x:v>
      </x:c>
      <x:c r="I9" s="4" t="str">
        <x:v>MEDIUM</x:v>
      </x:c>
      <x:c r="J9" s="4" t="str">
        <x:v>2009</x:v>
      </x:c>
    </x:row>
    <x:row r="10" ht="155" customHeight="1">
      <x:c r="A10" s="4" t="str">
        <x:v>K009</x:v>
      </x:c>
      <x:c r="B10" s="4" t="str">
        <x:v>Wireless links replace some peripheral cables</x:v>
      </x:c>
      <x:c r="C10" s="4" t="str">
        <x:v>Wireless links substantially displace short peripheral cables in ordinary use; “disappearing” describes a trend, not zero cables.</x:v>
      </x:c>
      <x:c r="D10" s="4" t="str">
        <x:v>Commercial Bluetooth keyboards/mice and ordinary Wi-Fi demonstrate the predicted transition by 2009.</x:v>
      </x:c>
      <x:c r="E10" s="4" t="str">
        <x:v>The broad direction holds. Charging leads and remaining monitor cables are not evidence that the trend failed.</x:v>
      </x:c>
      <x:c r="F10" s="4" t="str">
        <x:v>Assessment is conditional on the stated criterion and population. Documented examples establish availability, not universal adoption. The original book edition has not been independently collated.</x:v>
      </x:c>
      <x:c r="G10" s="4" t="str">
        <x:v>Technology markets and relevant users; no universality unless the forecast expressly requires it.</x:v>
      </x:c>
      <x:c r="H10" s="4" t="str">
        <x:v>MEDIUM</x:v>
      </x:c>
      <x:c r="I10" s="4" t="str">
        <x:v>MEDIUM</x:v>
      </x:c>
      <x:c r="J10" s="4" t="str">
        <x:v>2009</x:v>
      </x:c>
    </x:row>
    <x:row r="11" ht="155" customHeight="1">
      <x:c r="A11" s="4" t="str">
        <x:v>K010</x:v>
      </x:c>
      <x:c r="B11" s="4" t="str">
        <x:v>Routine, reliable, high-bandwidth wireless access</x:v>
      </x:c>
      <x:c r="C11" s="4" t="str">
        <x:v>Wireless Internet is a routine built-in capability with useful broadband availability in connected markets.</x:v>
      </x:c>
      <x:c r="D11" s="4" t="str">
        <x:v>Pew found 56% of US adults had used wireless Internet by 2009; shipping devices included Wi-Fi/cellular connectivity.</x:v>
      </x:c>
      <x:c r="E11" s="4" t="str">
        <x:v>Routine access is established. Universal coverage, perfect uptime and unlimited bandwidth were not imposed as extra requirements.</x:v>
      </x:c>
      <x:c r="F11" s="4" t="str">
        <x:v>US survey is evidence of routine connected-market use, not worldwide universal access. “High bandwidth” is judged relative to the forecast era.</x:v>
      </x:c>
      <x:c r="G11" s="4" t="str">
        <x:v>Technology markets and relevant users; no universality unless the forecast expressly requires it.</x:v>
      </x:c>
      <x:c r="H11" s="4" t="str">
        <x:v>MEDIUM</x:v>
      </x:c>
      <x:c r="I11" s="4" t="str">
        <x:v>MEDIUM</x:v>
      </x:c>
      <x:c r="J11" s="4" t="str">
        <x:v>2009</x:v>
      </x:c>
    </x:row>
    <x:row r="12" ht="155" customHeight="1">
      <x:c r="A12" s="4" t="str">
        <x:v>K011</x:v>
      </x:c>
      <x:c r="B12" s="4" t="str">
        <x:v>Dictation creates the majority of text</x:v>
      </x:c>
      <x:c r="C12" s="4" t="str">
        <x:v>More than half of generated text comes from continuous-speech dictation.</x:v>
      </x:c>
      <x:c r="D12" s="4" t="str">
        <x:v>The author’s own retrospective acknowledges that dictation had not become the majority input method in 2009.</x:v>
      </x:c>
      <x:c r="E12" s="4" t="str">
        <x:v>Dictation is effective and widely available, but typing and non-dictated text remain central. The majority claim is still not supported; this assessment is an inference, not a global text-volume census.</x:v>
      </x:c>
      <x:c r="F12" s="4" t="str">
        <x:v>AI-generated text is not speech-dictated text. Product availability alone is not evidence for the quantitative original. Current miss has medium confidence because global composition shares are not directly measured.</x:v>
      </x:c>
      <x:c r="G12" s="4" t="str">
        <x:v>Technology markets and relevant users; no universality unless the forecast expressly requires it.</x:v>
      </x:c>
      <x:c r="H12" s="4" t="str">
        <x:v>MEDIUM</x:v>
      </x:c>
      <x:c r="I12" s="4" t="str">
        <x:v>LOW</x:v>
      </x:c>
      <x:c r="J12" s="4" t="str">
        <x:v>2009</x:v>
      </x:c>
    </x:row>
    <x:row r="13" ht="155" customHeight="1">
      <x:c r="A13" s="4" t="str">
        <x:v>K012</x:v>
      </x:c>
      <x:c r="B13" s="4" t="str">
        <x:v>Ubiquitous language interfaces and animated assistants</x:v>
      </x:c>
      <x:c r="C13" s="4" t="str">
        <x:v>Task-oriented natural-language interfaces are broadly routine, including the forecast’s frequent animated-personality presentation.</x:v>
      </x:c>
      <x:c r="D13" s="4" t="str">
        <x:v>Language interfaces existed, but the retrospective concedes that they were not ubiquitous at the deadline.</x:v>
      </x:c>
      <x:c r="E13" s="4" t="str">
        <x:v>Siri and later assistants fulfill routine natural-language interaction. The recurring avatar/personality presentation is less fully realized, so the full compound remains partial.</x:v>
      </x:c>
      <x:c r="F13" s="4" t="str">
        <x:v>Assessment is conditional on the stated criterion and population. Documented examples establish availability, not universal adoption. The original book edition has not been independently collated.</x:v>
      </x:c>
      <x:c r="G13" s="4" t="str">
        <x:v>Technology markets and relevant users; no universality unless the forecast expressly requires it.</x:v>
      </x:c>
      <x:c r="H13" s="4" t="str">
        <x:v>MEDIUM</x:v>
      </x:c>
      <x:c r="I13" s="4" t="str">
        <x:v>LOW</x:v>
      </x:c>
      <x:c r="J13" s="4" t="str">
        <x:v>2009</x:v>
      </x:c>
    </x:row>
    <x:row r="14" ht="155" customHeight="1">
      <x:c r="A14" s="4" t="str">
        <x:v>K013</x:v>
      </x:c>
      <x:c r="B14" s="4" t="str">
        <x:v>Paper-like displays and routine electronic reading</x:v>
      </x:c>
      <x:c r="C14" s="4" t="str">
        <x:v>Small book-sized displays provide high contrast, readable resolution, broad viewing angles and no distracting flicker; digital reading is routine.</x:v>
      </x:c>
      <x:c r="D14" s="4" t="str">
        <x:v>Kindle’s 2007 electronic-paper display and wireless book delivery materially meet the listed visual and reading functions.</x:v>
      </x:c>
      <x:c r="E14" s="4" t="str">
        <x:v>The forecast did not require all books to abandon print or the screen to share every physical property of paper.</x:v>
      </x:c>
      <x:c r="F14" s="4" t="str">
        <x:v>Assessment is conditional on the stated criterion and population. Documented examples establish availability, not universal adoption. The original book edition has not been independently collated.</x:v>
      </x:c>
      <x:c r="G14" s="4" t="str">
        <x:v>Technology markets and relevant users; no universality unless the forecast expressly requires it.</x:v>
      </x:c>
      <x:c r="H14" s="4" t="str">
        <x:v>MEDIUM</x:v>
      </x:c>
      <x:c r="I14" s="4" t="str">
        <x:v>MEDIUM</x:v>
      </x:c>
      <x:c r="J14" s="4" t="str">
        <x:v>2009</x:v>
      </x:c>
    </x:row>
    <x:row r="15" ht="155" customHeight="1">
      <x:c r="A15" s="4" t="str">
        <x:v>K014</x:v>
      </x:c>
      <x:c r="B15" s="4" t="str">
        <x:v>See-through glasses with direct retinal projection</x:v>
      </x:c>
      <x:c r="C15" s="4" t="str">
        <x:v>Practical see-through head-worn displays project imagery onto the retina and are used, without a mass-adoption requirement.</x:v>
      </x:c>
      <x:c r="D15" s="4" t="str">
        <x:v>Microvision’s Nomad retinal display was deployed in a dealership in 2004, establishing practical use before 2009.</x:v>
      </x:c>
      <x:c r="E15" s="4" t="str">
        <x:v>This is a capability/use success, even though the product was specialized rather than popular fashion eyewear.</x:v>
      </x:c>
      <x:c r="F15" s="4" t="str">
        <x:v>Assessment is conditional on the stated criterion and population. Documented examples establish availability, not universal adoption. The original book edition has not been independently collated.</x:v>
      </x:c>
      <x:c r="G15" s="4" t="str">
        <x:v>Technology markets and relevant users; no universality unless the forecast expressly requires it.</x:v>
      </x:c>
      <x:c r="H15" s="4" t="str">
        <x:v>MEDIUM</x:v>
      </x:c>
      <x:c r="I15" s="4" t="str">
        <x:v>MEDIUM</x:v>
      </x:c>
      <x:c r="J15" s="4" t="str">
        <x:v>2009</x:v>
      </x:c>
    </x:row>
    <x:row r="16" ht="155" customHeight="1">
      <x:c r="A16" s="4" t="str">
        <x:v>K015</x:v>
      </x:c>
      <x:c r="B16" s="4" t="str">
        <x:v>Glasses and contact-lens displays in the 2010s</x:v>
      </x:c>
      <x:c r="C16" s="4" t="str">
        <x:v>Both glasses and contact-lens display forms deliver the predicted retinal imagery.</x:v>
      </x:c>
      <x:c r="D16" s="4" t="str">
        <x:v>Industrial retinal head-worn displays provided part of the capability by 2010; display contacts did not meet the same practical-use standard.</x:v>
      </x:c>
      <x:c r="E16" s="4" t="str">
        <x:v>Glasses/headsets remain the substantial realization, while the contact-lens half of the compound is not comparably established.</x:v>
      </x:c>
      <x:c r="F16" s="4" t="str">
        <x:v>Assessment is conditional on the stated criterion and population. Documented examples establish availability, not universal adoption. The original book edition has not been independently collated.</x:v>
      </x:c>
      <x:c r="G16" s="4" t="str">
        <x:v>Technology markets and relevant users; no universality unless the forecast expressly requires it.</x:v>
      </x:c>
      <x:c r="H16" s="4" t="str">
        <x:v>MEDIUM</x:v>
      </x:c>
      <x:c r="I16" s="4" t="str">
        <x:v>LOW</x:v>
      </x:c>
      <x:c r="J16" s="4" t="str">
        <x:v>2010 in the author retrospective’s Singularity Is Near forecast grouping; wider prose says early 2010s.</x:v>
      </x:c>
    </x:row>
    <x:row r="17" ht="155" customHeight="1">
      <x:c r="A17" s="4" t="str">
        <x:v>K016</x:v>
      </x:c>
      <x:c r="B17" s="4" t="str">
        <x:v>Tiny devices project auditory environments</x:v>
      </x:c>
      <x:c r="C17" s="4" t="str">
        <x:v>Small personal audio devices create a convincing spatial auditory environment.</x:v>
      </x:c>
      <x:c r="D17" s="4" t="str">
        <x:v>Audio spatialization and directed-sound hardware existed by 2010, but the tiny ordinary personal implementation was incomplete.</x:v>
      </x:c>
      <x:c r="E17" s="4" t="str">
        <x:v>Small AirPods with dynamic head-tracked spatial audio are documented by 2021. This meets the perceptual function, not the ultrasonic projection mechanism emphasized in the explanatory discussion.</x:v>
      </x:c>
      <x:c r="F17" s="4" t="str">
        <x:v>Functional audio success is not a claim of ultrasound projection. 2021 is a documented-by date; no exact first commercial year is asserted.</x:v>
      </x:c>
      <x:c r="G17" s="4" t="str">
        <x:v>Technology markets and relevant users; no universality unless the forecast expressly requires it.</x:v>
      </x:c>
      <x:c r="H17" s="4" t="str">
        <x:v>MEDIUM</x:v>
      </x:c>
      <x:c r="I17" s="4" t="str">
        <x:v>MEDIUM</x:v>
      </x:c>
      <x:c r="J17" s="4" t="str">
        <x:v>2010 in the retrospective’s grouped early-2010s forecasts.</x:v>
      </x:c>
    </x:row>
    <x:row r="18" ht="155" customHeight="1">
      <x:c r="A18" s="4" t="str">
        <x:v>K017</x:v>
      </x:c>
      <x:c r="B18" s="4" t="str">
        <x:v>Anytime immersive audiovisual virtual reality</x:v>
      </x:c>
      <x:c r="C18" s="4" t="str">
        <x:v>Consumers can use immersive high-resolution visual-plus-audio VR on demand, without requiring a specialist installation.</x:v>
      </x:c>
      <x:c r="D18" s="4" t="str">
        <x:v>Earlier VR systems existed, but ordinary portable on-demand immersive access was limited in 2010.</x:v>
      </x:c>
      <x:c r="E18" s="4" t="str">
        <x:v>The standalone Quest shipped in 2019 with tracked immersive visual/audio use. “Immersive” is not silently strengthened to indistinguishable reality or all senses.</x:v>
      </x:c>
      <x:c r="F18" s="4" t="str">
        <x:v>Spatial resolution is evaluated against usable consumer VR, not human retinal acuity, which this particular forecast does not specify.</x:v>
      </x:c>
      <x:c r="G18" s="4" t="str">
        <x:v>Technology markets and relevant users; no universality unless the forecast expressly requires it.</x:v>
      </x:c>
      <x:c r="H18" s="4" t="str">
        <x:v>MEDIUM</x:v>
      </x:c>
      <x:c r="I18" s="4" t="str">
        <x:v>MEDIUM</x:v>
      </x:c>
      <x:c r="J18" s="4" t="str">
        <x:v>2010 in the retrospective’s early-2010s grouping.</x:v>
      </x:c>
    </x:row>
    <x:row r="19" ht="155" customHeight="1">
      <x:c r="A19" s="4" t="str">
        <x:v>K018</x:v>
      </x:c>
      <x:c r="B19" s="4" t="str">
        <x:v>Augmented-reality overlays</x:v>
      </x:c>
      <x:c r="C19" s="4" t="str">
        <x:v>Digital instructions or information overlay the user’s view of the physical world.</x:v>
      </x:c>
      <x:c r="D19" s="4" t="str">
        <x:v>Nomad’s deployed see-through repair guidance already provided the functional overlay before 2010.</x:v>
      </x:c>
      <x:c r="E19" s="4" t="str">
        <x:v>The availability claim is met; we do not require everyone to wear AR glasses.</x:v>
      </x:c>
      <x:c r="F19" s="4" t="str">
        <x:v>Assessment is conditional on the stated criterion and population. Documented examples establish availability, not universal adoption. The original book edition has not been independently collated.</x:v>
      </x:c>
      <x:c r="G19" s="4" t="str">
        <x:v>Technology markets and relevant users; no universality unless the forecast expressly requires it.</x:v>
      </x:c>
      <x:c r="H19" s="4" t="str">
        <x:v>MEDIUM</x:v>
      </x:c>
      <x:c r="I19" s="4" t="str">
        <x:v>MEDIUM</x:v>
      </x:c>
      <x:c r="J19" s="4" t="str">
        <x:v>2010 in the author retrospective’s early-2010s grouping.</x:v>
      </x:c>
    </x:row>
    <x:row r="20" ht="155" customHeight="1">
      <x:c r="A20" s="4" t="str">
        <x:v>K019</x:v>
      </x:c>
      <x:c r="B20" s="4" t="str">
        <x:v>People largely removed from the battlefield</x:v>
      </x:c>
      <x:c r="C20" s="4" t="str">
        <x:v>Warfare generally places human participants far from the physical fighting, not merely some pilots.</x:v>
      </x:c>
      <x:c r="D20" s="4" t="str">
        <x:v>Large troop deployments and ground combat in 2009 contradict the general-removal claim.</x:v>
      </x:c>
      <x:c r="E20" s="4" t="str">
        <x:v>Ongoing front-line fighting and 2025 casualties in Ukraine contradict general removal today. Drones reduce some exposure without removing humans from war.</x:v>
      </x:c>
      <x:c r="F20" s="4" t="str">
        <x:v>Assessment is conditional on the stated criterion and population. Documented examples establish availability, not universal adoption. The original book edition has not been independently collated.</x:v>
      </x:c>
      <x:c r="G20" s="4" t="str">
        <x:v>Technology markets and relevant users; no universality unless the forecast expressly requires it.</x:v>
      </x:c>
      <x:c r="H20" s="4" t="str">
        <x:v>MEDIUM</x:v>
      </x:c>
      <x:c r="I20" s="4" t="str">
        <x:v>LOW</x:v>
      </x:c>
      <x:c r="J20" s="4" t="str">
        <x:v>2009</x:v>
      </x:c>
    </x:row>
    <x:row r="21" ht="155" customHeight="1">
      <x:c r="A21" s="4" t="str">
        <x:v>K020</x:v>
      </x:c>
      <x:c r="B21" s="4" t="str">
        <x:v>Unmanned aircraft dominate warfare</x:v>
      </x:c>
      <x:c r="C21" s="4" t="str">
        <x:v>Unmanned intelligent aircraft are the dominant mode of warfare rather than an important additional weapon.</x:v>
      </x:c>
      <x:c r="D21" s="4" t="str">
        <x:v>Drones were important in 2009, but conventional ground and air warfare were not displaced.</x:v>
      </x:c>
      <x:c r="E21" s="4" t="str">
        <x:v>They are now central in particular theaters, especially Ukraine. The worldwide, cross-domain dominance claim remains only partly fulfilled.</x:v>
      </x:c>
      <x:c r="F21" s="4" t="str">
        <x:v>Civilian casualty shares are not used as a precise military weapons-share metric. Current assessment is qualitative across conflict types.</x:v>
      </x:c>
      <x:c r="G21" s="4" t="str">
        <x:v>Technology markets and relevant users; no universality unless the forecast expressly requires it.</x:v>
      </x:c>
      <x:c r="H21" s="4" t="str">
        <x:v>MEDIUM</x:v>
      </x:c>
      <x:c r="I21" s="4" t="str">
        <x:v>LOW</x:v>
      </x:c>
      <x:c r="J21" s="4" t="str">
        <x:v>2009</x:v>
      </x:c>
    </x:row>
    <x:row r="22" ht="155" customHeight="1">
      <x:c r="A22" s="4" t="str">
        <x:v>K021</x:v>
      </x:c>
      <x:c r="B22" s="4" t="str">
        <x:v>Solar meets worldwide energy demand</x:v>
      </x:c>
      <x:c r="C22" s="4" t="str">
        <x:v>Solar energy actually supplies global energy demand, not merely enough theoretical sunshine or nameplate power.</x:v>
      </x:c>
      <x:c r="D22" s="4" t="str">
        <x:v>The 2028 deadline remains in the future.</x:v>
      </x:c>
      <x:c r="E22" s="4" t="str">
        <x:v>IEA reports solar supplied over 8% of global electricity in 2025—substantial growth, but electricity is only part of energy and far from all energy.</x:v>
      </x:c>
      <x:c r="F22" s="4" t="str">
        <x:v>Keep energy versus electricity, delivered output versus capacity, and growth contribution versus total share separate.</x:v>
      </x:c>
      <x:c r="G22" s="4" t="str">
        <x:v>Technology markets and relevant users; no universality unless the forecast expressly requires it.</x:v>
      </x:c>
      <x:c r="H22" s="4" t="str">
        <x:v>MEDIUM</x:v>
      </x:c>
      <x:c r="I22" s="4" t="str">
        <x:v>LOW</x:v>
      </x:c>
      <x:c r="J22" s="4" t="str">
        <x:v>2028</x:v>
      </x:c>
    </x:row>
    <x:row r="23" ht="155" customHeight="1">
      <x:c r="A23" s="4" t="str">
        <x:v>K022</x:v>
      </x:c>
      <x:c r="B23" s="4" t="str">
        <x:v>The Singularity and billionfold intelligence expansion</x:v>
      </x:c>
      <x:c r="C23" s="4" t="str">
        <x:v>Nonbiological intelligence and human-machine integration reach the extraordinary scale asserted for the 2045 singularity.</x:v>
      </x:c>
      <x:c r="D23" s="4" t="str">
        <x:v>The 2045 forecast is not yet due.</x:v>
      </x:c>
      <x:c r="E23" s="4" t="str">
        <x:v>AI capabilities are substantial, but there is no established measurement showing fulfillment of the entire singularity claim.</x:v>
      </x:c>
      <x:c r="F23" s="4" t="str">
        <x:v>The label is forward-looking and partly conceptual. Current partial progress does not settle the future aggregate threshold.</x:v>
      </x:c>
      <x:c r="G23" s="4" t="str">
        <x:v>Technology markets and relevant users; no universality unless the forecast expressly requires it.</x:v>
      </x:c>
      <x:c r="H23" s="4" t="str">
        <x:v>MEDIUM</x:v>
      </x:c>
      <x:c r="I23" s="4" t="str">
        <x:v>LOW</x:v>
      </x:c>
      <x:c r="J23" s="4" t="str">
        <x:v>2045</x:v>
      </x:c>
    </x:row>
    <x:row r="24" ht="155" customHeight="1">
      <x:c r="A24" s="4" t="str">
        <x:v>K023</x:v>
      </x:c>
      <x:c r="B24" s="4" t="str">
        <x:v>The specific Kurzweil–Kapor Turing-test wager</x:v>
      </x:c>
      <x:c r="C24" s="4" t="str">
        <x:v>A machine passes the specific two-hour, multi-judge protocol in the Kurzweil–Kapor wager.</x:v>
      </x:c>
      <x:c r="D24" s="4" t="str">
        <x:v>The 2029 wager deadline is still ahead.</x:v>
      </x:c>
      <x:c r="E24" s="4" t="str">
        <x:v>The located evidence does not document a completed pass under that contract. Five-minute conversational studies are a different protocol.</x:v>
      </x:c>
      <x:c r="F24" s="4" t="str">
        <x:v>Assessment is conditional on the stated criterion and population. Documented examples establish availability, not universal adoption. The original book edition has not been independently collated.</x:v>
      </x:c>
      <x:c r="G24" s="4" t="str">
        <x:v>Technology markets and relevant users; no universality unless the forecast expressly requires it.</x:v>
      </x:c>
      <x:c r="H24" s="4" t="str">
        <x:v>MEDIUM</x:v>
      </x:c>
      <x:c r="I24" s="4" t="str">
        <x:v>LOW</x:v>
      </x:c>
      <x:c r="J24" s="4" t="str">
        <x:v>2029</x:v>
      </x:c>
    </x:row>
    <x:row r="25" ht="155" customHeight="1">
      <x:c r="A25" s="4" t="str">
        <x:v>K024</x:v>
      </x:c>
      <x:c r="B25" s="4" t="str">
        <x:v>Bloodstream nanobots for scouting and limited repair</x:v>
      </x:c>
      <x:c r="C25" s="4" t="str">
        <x:v>Deployed in-body nanorobots scout the bloodstream and carry out limited repair, beyond passive drug nanoparticles.</x:v>
      </x:c>
      <x:c r="D25" s="4" t="str">
        <x:v>The verified adaptation puts this version in 2029, so it is pending.</x:v>
      </x:c>
      <x:c r="E25" s="4" t="str">
        <x:v>Medical microrobotics has genuine experimental progress but clinical translation and in-body autonomy remain material gaps.</x:v>
      </x:c>
      <x:c r="F25" s="4" t="str">
        <x:v>The disputed 2019 legacy attribution is not silently changed into this 2029 claim; its reconciliation history remains available.</x:v>
      </x:c>
      <x:c r="G25" s="4" t="str">
        <x:v>Technology markets and relevant users; no universality unless the forecast expressly requires it.</x:v>
      </x:c>
      <x:c r="H25" s="4" t="str">
        <x:v>MEDIUM</x:v>
      </x:c>
      <x:c r="I25" s="4" t="str">
        <x:v>LOW</x:v>
      </x:c>
      <x:c r="J25" s="4" t="str">
        <x:v>2029</x:v>
      </x:c>
    </x:row>
    <x:row r="26" ht="155" customHeight="1">
      <x:c r="A26" s="4" t="str">
        <x:v>K025</x:v>
      </x:c>
      <x:c r="B26" s="4" t="str">
        <x:v>A thousand-dollar brain-capacity computer in 2020</x:v>
      </x:c>
      <x:c r="C26" s="4" t="str">
        <x:v>About $1,000 purchases the forecast’s roughly 10^16 calculations/second brain-hardware budget, using an explicit arithmetic proxy.</x:v>
      </x:c>
      <x:c r="D26" s="4" t="str">
        <x:v>A 2020 RTX 3080 delivered roughly 3×10^13 FP32 operations/second, well below 10^16 even before the rest of the PC.</x:v>
      </x:c>
      <x:c r="E26" s="4" t="str">
        <x:v>The checked $999-launch RTX 5080 class remains below 10^16 even using the much less comparable low-precision AI figure. The constant-dollar adjustment does not bridge the large FP32 gap.</x:v>
      </x:c>
      <x:c r="F26" s="4" t="str">
        <x:v>FP32 is an explicit editorial comparison, not a biological unit. Low-precision/sparse TOPS, CPU instructions and brain synaptic operations cannot be equated without a model.</x:v>
      </x:c>
      <x:c r="G26" s="4" t="str">
        <x:v>Technology markets and relevant users; no universality unless the forecast expressly requires it.</x:v>
      </x:c>
      <x:c r="H26" s="4" t="str">
        <x:v>MEDIUM</x:v>
      </x:c>
      <x:c r="I26" s="4" t="str">
        <x:v>LOW</x:v>
      </x:c>
      <x:c r="J26" s="4" t="str">
        <x:v>2020</x:v>
      </x:c>
    </x:row>
    <x:row r="27" ht="155" customHeight="1">
      <x:c r="A27" s="4" t="str">
        <x:v>K026</x:v>
      </x:c>
      <x:c r="B27" s="4" t="str">
        <x:v>Automated intelligent highways</x:v>
      </x:c>
      <x:c r="C27" s="4" t="str">
        <x:v>Ordinary intelligent highways accept a vehicle into automatic road-control infrastructure while local roads remain conventional.</x:v>
      </x:c>
      <x:c r="D27" s="4" t="str">
        <x:v>Demonstrations of autonomy did not create the forecast’s functioning highway-control network in 2009.</x:v>
      </x:c>
      <x:c r="E27" s="4" t="str">
        <x:v>Automated vehicle capability has advanced substantially, but Waymo’s onboard autonomy is not the forecast’s road-embedded highway architecture.</x:v>
      </x:c>
      <x:c r="F27" s="4" t="str">
        <x:v>Assessment is conditional on the stated criterion and population. Documented examples establish availability, not universal adoption. The original book edition has not been independently collated.</x:v>
      </x:c>
      <x:c r="G27" s="4" t="str">
        <x:v>Technology markets and relevant users; no universality unless the forecast expressly requires it.</x:v>
      </x:c>
      <x:c r="H27" s="4" t="str">
        <x:v>MEDIUM</x:v>
      </x:c>
      <x:c r="I27" s="4" t="str">
        <x:v>LOW</x:v>
      </x:c>
      <x:c r="J27" s="4" t="str">
        <x:v>2009</x:v>
      </x:c>
    </x:row>
    <x:row r="28" ht="155" customHeight="1">
      <x:c r="A28" s="4" t="str">
        <x:v>K027</x:v>
      </x:c>
      <x:c r="B28" s="4" t="str">
        <x:v>Life expectancy over 100</x:v>
      </x:c>
      <x:c r="C28" s="4" t="str">
        <x:v>Ordinary population life expectancy/expected lifespan exceeds 100 years, not a few individuals living past 100.</x:v>
      </x:c>
      <x:c r="D28" s="4" t="str">
        <x:v>Observed 2019 US life expectancy was 78.8 years, far below 100.</x:v>
      </x:c>
      <x:c r="E28" s="4" t="str">
        <x:v>CDC’s 2024 estimate is 79.0 years. Cohort hopes or exceptional centenarians do not establish ordinary life expectancy over 100.</x:v>
      </x:c>
      <x:c r="F28" s="4" t="str">
        <x:v>Period life expectancy is the reference measurable interpretation. A forecast about an unspecified future cohort would need its own model; it is not evidence of present achievement.</x:v>
      </x:c>
      <x:c r="G28" s="4" t="str">
        <x:v>Technology markets and relevant users; no universality unless the forecast expressly requires it.</x:v>
      </x:c>
      <x:c r="H28" s="4" t="str">
        <x:v>MEDIUM</x:v>
      </x:c>
      <x:c r="I28" s="4" t="str">
        <x:v>LOW</x:v>
      </x:c>
      <x:c r="J28" s="4" t="str">
        <x:v>2019</x:v>
      </x:c>
    </x:row>
    <x:row r="29" ht="155" customHeight="1">
      <x:c r="A29" s="4" t="str">
        <x:v>K028</x:v>
      </x:c>
      <x:c r="B29" s="4" t="str">
        <x:v>Life expectancy reaches 120</x:v>
      </x:c>
      <x:c r="C29" s="4" t="str">
        <x:v>Population life expectancy reaches 120 years.</x:v>
      </x:c>
      <x:c r="D29" s="4" t="str">
        <x:v>The target is 2029; no deadline failure is assigned early.</x:v>
      </x:c>
      <x:c r="E29" s="4" t="str">
        <x:v>Observed life expectancy remains far below 120, despite specific medical improvements.</x:v>
      </x:c>
      <x:c r="F29" s="4" t="str">
        <x:v>Assessment is conditional on the stated criterion and population. Documented examples establish availability, not universal adoption. The original book edition has not been independently collated.</x:v>
      </x:c>
      <x:c r="G29" s="4" t="str">
        <x:v>Technology markets and relevant users; no universality unless the forecast expressly requires it.</x:v>
      </x:c>
      <x:c r="H29" s="4" t="str">
        <x:v>MEDIUM</x:v>
      </x:c>
      <x:c r="I29" s="4" t="str">
        <x:v>LOW</x:v>
      </x:c>
      <x:c r="J29" s="4" t="str">
        <x:v>2029</x:v>
      </x:c>
    </x:row>
    <x:row r="30" ht="155" customHeight="1">
      <x:c r="A30" s="4" t="str">
        <x:v>K029</x:v>
      </x:c>
      <x:c r="B30" s="4" t="str">
        <x:v>Gesture and spoken language become dominant input</x:v>
      </x:c>
      <x:c r="C30" s="4" t="str">
        <x:v>Gestures and natural spoken interaction predominate and keyboards become rare, retaining the substantive keyboard-rarity clause.</x:v>
      </x:c>
      <x:c r="D30" s="4" t="str">
        <x:v>Touchscreens and assistants were widespread by 2019, but keyboards remained normal.</x:v>
      </x:c>
      <x:c r="E30" s="4" t="str">
        <x:v>Multimodal AI expands the predicted interface, yet physical and on-screen keyboards are not rare. The compound remains partial.</x:v>
      </x:c>
      <x:c r="F30" s="4" t="str">
        <x:v>Assessment is conditional on the stated criterion and population. Documented examples establish availability, not universal adoption. The original book edition has not been independently collated.</x:v>
      </x:c>
      <x:c r="G30" s="4" t="str">
        <x:v>Technology markets and relevant users; no universality unless the forecast expressly requires it.</x:v>
      </x:c>
      <x:c r="H30" s="4" t="str">
        <x:v>MEDIUM</x:v>
      </x:c>
      <x:c r="I30" s="4" t="str">
        <x:v>LOW</x:v>
      </x:c>
      <x:c r="J30" s="4" t="str">
        <x:v>2019</x:v>
      </x:c>
    </x:row>
    <x:row r="31" ht="155" customHeight="1">
      <x:c r="A31" s="4" t="str">
        <x:v>K030</x:v>
      </x:c>
      <x:c r="B31" s="4" t="str">
        <x:v>Routine high-acuity retinal displays</x:v>
      </x:c>
      <x:c r="C31" s="4" t="str">
        <x:v>Retinal glasses/contacts with the specified exceptional resolution are routinely worn, not just demonstrated.</x:v>
      </x:c>
      <x:c r="D31" s="4" t="str">
        <x:v>Near-eye displays existed in 2019, but mainstream routine use at the asserted acuity did not.</x:v>
      </x:c>
      <x:c r="E31" s="4" t="str">
        <x:v>Practical headsets/AR prove part of the direction, not routine retinal contacts or acuity above human vision.</x:v>
      </x:c>
      <x:c r="F31" s="4" t="str">
        <x:v>Assessment is conditional on the stated criterion and population. Documented examples establish availability, not universal adoption. The original book edition has not been independently collated.</x:v>
      </x:c>
      <x:c r="G31" s="4" t="str">
        <x:v>Technology markets and relevant users; no universality unless the forecast expressly requires it.</x:v>
      </x:c>
      <x:c r="H31" s="4" t="str">
        <x:v>MEDIUM</x:v>
      </x:c>
      <x:c r="I31" s="4" t="str">
        <x:v>LOW</x:v>
      </x:c>
      <x:c r="J31" s="4" t="str">
        <x:v>2019</x:v>
      </x:c>
    </x:row>
    <x:row r="32" ht="155" customHeight="1">
      <x:c r="A32" s="4" t="str">
        <x:v>K031</x:v>
      </x:c>
      <x:c r="B32" s="4" t="str">
        <x:v>Convincing full-body tactile virtual reality</x:v>
      </x:c>
      <x:c r="C32" s="4" t="str">
        <x:v>A widely available booth convincingly reproduces whole-body pressure, temperature, texture and wetness.</x:v>
      </x:c>
      <x:c r="D32" s="4" t="str">
        <x:v>Limited vibration/force feedback did not constitute the specified full tactile environment in 2019.</x:v>
      </x:c>
      <x:c r="E32" s="4" t="str">
        <x:v>Recent finger-scale thermal/pressure research remains materially short of an all-enveloping, all-facet consumer booth.</x:v>
      </x:c>
      <x:c r="F32" s="4" t="str">
        <x:v>A substantial gap in a central all-enveloping capability earns MISSED, not automatic partial credit for a related component.</x:v>
      </x:c>
      <x:c r="G32" s="4" t="str">
        <x:v>Technology markets and relevant users; no universality unless the forecast expressly requires it.</x:v>
      </x:c>
      <x:c r="H32" s="4" t="str">
        <x:v>MEDIUM</x:v>
      </x:c>
      <x:c r="I32" s="4" t="str">
        <x:v>LOW</x:v>
      </x:c>
      <x:c r="J32" s="4" t="str">
        <x:v>2019</x:v>
      </x:c>
    </x:row>
    <x:row r="33" ht="155" customHeight="1">
      <x:c r="A33" s="4" t="str">
        <x:v>K032</x:v>
      </x:c>
      <x:c r="B33" s="4" t="str">
        <x:v>High-bandwidth neural interfaces augment brain functions</x:v>
      </x:c>
      <x:c r="C33" s="4" t="str">
        <x:v>High-bandwidth neural links materially replace or augment specialized brain-region functions.</x:v>
      </x:c>
      <x:c r="D33" s="4" t="str">
        <x:v>The 2029 deadline is future.</x:v>
      </x:c>
      <x:c r="E33" s="4" t="str">
        <x:v>Clinical sensory implants and neural-interface research support partial progress, not the broadly perfected high-bandwidth cognitive bypass described.</x:v>
      </x:c>
      <x:c r="F33" s="4" t="str">
        <x:v>Therapeutic sensory restoration, connectivity maps and generalized cognition augmentation are different capabilities.</x:v>
      </x:c>
      <x:c r="G33" s="4" t="str">
        <x:v>Technology markets and relevant users; no universality unless the forecast expressly requires it.</x:v>
      </x:c>
      <x:c r="H33" s="4" t="str">
        <x:v>MEDIUM</x:v>
      </x:c>
      <x:c r="I33" s="4" t="str">
        <x:v>LOW</x:v>
      </x:c>
      <x:c r="J33" s="4" t="str">
        <x:v>2029</x:v>
      </x:c>
    </x:row>
    <x:row r="34" ht="155" customHeight="1">
      <x:c r="A34" s="4" t="str">
        <x:v>K033</x:v>
      </x:c>
      <x:c r="B34" s="4" t="str">
        <x:v>Supercomputers reach 20 quadrillion calculations per second</x:v>
      </x:c>
      <x:c r="C34" s="4" t="str">
        <x:v>A supercomputer sustains approximately 20 petaflops on a named numerical benchmark; this is the explicit hardware-throughput proxy.</x:v>
      </x:c>
      <x:c r="D34" s="4" t="str">
        <x:v>The November 2009 TOP500 leader was under 2 petaflops on LINPACK, below the stated 20-petaflop target.</x:v>
      </x:c>
      <x:c r="E34" s="4" t="str">
        <x:v>Tianhe-2 exceeded 20 petaflops on LINPACK in June 2013. The numerical forecast was late, not unscorable merely because brain equivalence is debated.</x:v>
      </x:c>
      <x:c r="F34" s="4" t="str">
        <x:v>This establishes numerical hardware capacity only. Neither 2012 nor 2013 is evidence of simulating a human mind.</x:v>
      </x:c>
      <x:c r="G34" s="4" t="str">
        <x:v>Technology markets and relevant users; no universality unless the forecast expressly requires it.</x:v>
      </x:c>
      <x:c r="H34" s="4" t="str">
        <x:v>MEDIUM</x:v>
      </x:c>
      <x:c r="I34" s="4" t="str">
        <x:v>HIGH</x:v>
      </x:c>
      <x:c r="J34" s="4" t="str">
        <x:v>2009</x:v>
      </x:c>
    </x:row>
    <x:row r="35" ht="155" customHeight="1">
      <x:c r="A35" s="4" t="str">
        <x:v>K034</x:v>
      </x:c>
      <x:c r="B35" s="4" t="str">
        <x:v>The 2019 thousand-dollar brain-compute estimate</x:v>
      </x:c>
      <x:c r="C35" s="4" t="str">
        <x:v>A circa-$1,000 consumer budget, inflation-adjusted from 1999, buys approximately 20 petaflops of ordinary arithmetic capacity.</x:v>
      </x:c>
      <x:c r="D35" s="4" t="str">
        <x:v>Consumer hardware in 2019 was orders of magnitude below 20 petaflops in conventional FP32 throughput.</x:v>
      </x:c>
      <x:c r="E35" s="4" t="str">
        <x:v>Current checked consumer GPU specifications remain far short on that basis. Inflation adjustment and GPU-only accounting do not rescue the order-of-magnitude mismatch.</x:v>
      </x:c>
      <x:c r="F35" s="4" t="str">
        <x:v>A different precision or sparse-operation convention changes the number, not automatically the biological claim. Current consumer comparison is illustrative, not a full auction-price optimization.</x:v>
      </x:c>
      <x:c r="G35" s="4" t="str">
        <x:v>Technology markets and relevant users; no universality unless the forecast expressly requires it.</x:v>
      </x:c>
      <x:c r="H35" s="4" t="str">
        <x:v>MEDIUM</x:v>
      </x:c>
      <x:c r="I35" s="4" t="str">
        <x:v>LOW</x:v>
      </x:c>
      <x:c r="J35" s="4" t="str">
        <x:v>2019</x:v>
      </x:c>
    </x:row>
    <x:row r="36" ht="155" customHeight="1">
      <x:c r="A36" s="4" t="str">
        <x:v>K035</x:v>
      </x:c>
      <x:c r="B36" s="4" t="str">
        <x:v>Thousand-brain computation for a thousand dollars</x:v>
      </x:c>
      <x:c r="C36" s="4" t="str">
        <x:v>A $1,000-in-1999-dollars unit supplies approximately 2×10^19 calculations/second.</x:v>
      </x:c>
      <x:c r="D36" s="4" t="str">
        <x:v>The 2029 forecast has not matured.</x:v>
      </x:c>
      <x:c r="E36" s="4" t="str">
        <x:v>Checked consumer hardware does not currently reach the stated arithmetic scale. This is pending, not failed in 2026.</x:v>
      </x:c>
      <x:c r="F36" s="4" t="str">
        <x:v>Assessment is conditional on the stated criterion and population. Documented examples establish availability, not universal adoption. The original book edition has not been independently collated.</x:v>
      </x:c>
      <x:c r="G36" s="4" t="str">
        <x:v>Technology markets and relevant users; no universality unless the forecast expressly requires it.</x:v>
      </x:c>
      <x:c r="H36" s="4" t="str">
        <x:v>MEDIUM</x:v>
      </x:c>
      <x:c r="I36" s="4" t="str">
        <x:v>LOW</x:v>
      </x:c>
      <x:c r="J36" s="4" t="str">
        <x:v>2029</x:v>
      </x:c>
    </x:row>
    <x:row r="37" ht="155" customHeight="1">
      <x:c r="A37" s="4" t="str">
        <x:v>K036</x:v>
      </x:c>
      <x:c r="B37" s="4" t="str">
        <x:v>Effective models of all brain regions</x:v>
      </x:c>
      <x:c r="C37" s="4" t="str">
        <x:v>Effective functional models cover all major human brain regions and their integrated operation, not just a wiring atlas.</x:v>
      </x:c>
      <x:c r="D37" s="4" t="str">
        <x:v>Using 2025 as the explicit midpoint of “mid-2020s,” major regional/animal mapping existed but not this complete human functional model.</x:v>
      </x:c>
      <x:c r="E37" s="4" t="str">
        <x:v>The human cortical parcellation, mouse atlas and fly connectome are genuine partial achievements. They do not establish complete human emulation.</x:v>
      </x:c>
      <x:c r="F37" s="4" t="str">
        <x:v>The current partial result is robust; only deadline status changes under the generous 2026 endpoint. The reference-year choice is visibly editorial, not presented as an exact original year.</x:v>
      </x:c>
      <x:c r="G37" s="4" t="str">
        <x:v>Technology markets and relevant users; no universality unless the forecast expressly requires it.</x:v>
      </x:c>
      <x:c r="H37" s="4" t="str">
        <x:v>MEDIUM</x:v>
      </x:c>
      <x:c r="I37" s="4" t="str">
        <x:v>LOW</x:v>
      </x:c>
      <x:c r="J37" s="4" t="str">
        <x:v>Mid-2020s: reference 2025; sensitivity interval 2024–2026.</x:v>
      </x:c>
    </x:row>
    <x:row r="38" ht="155" customHeight="1">
      <x:c r="A38" s="4" t="str">
        <x:v>K037</x:v>
      </x:c>
      <x:c r="B38" s="4" t="str">
        <x:v>Developed-world universal basic income</x:v>
      </x:c>
      <x:c r="C38" s="4" t="str">
        <x:v>Unconditional basic income operates generally across developed economies, not just a local trial.</x:v>
      </x:c>
      <x:c r="D38" s="4" t="str">
        <x:v>Early 2030s remains future; use 2033 as an explicit reference endpoint.</x:v>
      </x:c>
      <x:c r="E38" s="4" t="str">
        <x:v>Pilots and limited programs do not constitute the cross-economy rollout. Attribution rests on contemporaneous reporting rather than a located full primary transcript.</x:v>
      </x:c>
      <x:c r="F38" s="4" t="str">
        <x:v>Current policy-progress judgment has medium confidence; no precise global program count or fiscal prediction is asserted.</x:v>
      </x:c>
      <x:c r="G38" s="4" t="str">
        <x:v>Technology markets and relevant users; no universality unless the forecast expressly requires it.</x:v>
      </x:c>
      <x:c r="H38" s="4" t="str">
        <x:v>MEDIUM</x:v>
      </x:c>
      <x:c r="I38" s="4" t="str">
        <x:v>LOW</x:v>
      </x:c>
      <x:c r="J38" s="4" t="str">
        <x:v>Early 2030s; reference endpoint 2033, not a newly asserted exact quote.</x:v>
      </x:c>
    </x:row>
    <x:row r="39" ht="155" customHeight="1">
      <x:c r="A39" s="4" t="str">
        <x:v>K038</x:v>
      </x:c>
      <x:c r="B39" s="4" t="str">
        <x:v>Worldwide universal basic income</x:v>
      </x:c>
      <x:c r="C39" s="4" t="str">
        <x:v>Basic income is implemented worldwide, not merely discussed or piloted.</x:v>
      </x:c>
      <x:c r="D39" s="4" t="str">
        <x:v>The late-2030s/worldwide forecast is pending.</x:v>
      </x:c>
      <x:c r="E39" s="4" t="str">
        <x:v>The present evidence supports experimentation, not a worldwide income floor.</x:v>
      </x:c>
      <x:c r="F39" s="4" t="str">
        <x:v>A published forecast sourced through contemporaneous reporting. This is not a financial recommendation or an assertion of universal benefit coverage.</x:v>
      </x:c>
      <x:c r="G39" s="4" t="str">
        <x:v>Technology markets and relevant users; no universality unless the forecast expressly requires it.</x:v>
      </x:c>
      <x:c r="H39" s="4" t="str">
        <x:v>MEDIUM</x:v>
      </x:c>
      <x:c r="I39" s="4" t="str">
        <x:v>LOW</x:v>
      </x:c>
      <x:c r="J39" s="4" t="str">
        <x:v>2039</x:v>
      </x:c>
    </x:row>
    <x:row r="40" ht="155" customHeight="1">
      <x:c r="A40" s="4" t="str">
        <x:v>K039</x:v>
      </x:c>
      <x:c r="B40" s="4" t="str">
        <x:v>Nonlinear electronic documents</x:v>
      </x:c>
      <x:c r="C40" s="4" t="str">
        <x:v>Electronic documents support routine nonlinear navigation, linking and interaction.</x:v>
      </x:c>
      <x:c r="D40" s="4" t="str">
        <x:v>No precise deadline is established for this version; do not manufacture an on-time rate.</x:v>
      </x:c>
      <x:c r="E40" s="4" t="str">
        <x:v>The Web plainly fulfills the functional claim. CERN’s history establishes the 1990s realization; attribution novelty is distinct from whether the outcome occurred.</x:v>
      </x:c>
      <x:c r="F40" s="4" t="str">
        <x:v>Undated does not mean outcome-unassessable. A successful directional forecast can still lack timing credit or novelty.</x:v>
      </x:c>
      <x:c r="G40" s="4" t="str">
        <x:v>Technology markets and relevant users; no universality unless the forecast expressly requires it.</x:v>
      </x:c>
      <x:c r="H40" s="4" t="str">
        <x:v>MEDIUM</x:v>
      </x:c>
      <x:c r="I40" s="4" t="str">
        <x:v>MEDIUM</x:v>
      </x:c>
      <x:c r="J40" s="4" t="str">
        <x:v>next century</x:v>
      </x:c>
    </x:row>
    <x:row r="41" ht="155" customHeight="1">
      <x:c r="A41" s="4" t="str">
        <x:v>K040</x:v>
      </x:c>
      <x:c r="B41" s="4" t="str">
        <x:v>Information technology pressures authoritarian control</x:v>
      </x:c>
      <x:c r="C41" s="4" t="str">
        <x:v>Information technology makes authoritarian information control harder while also enabling governments to respond.</x:v>
      </x:c>
      <x:c r="D41" s="4" t="str">
        <x:v>This is a conditional, undated societal forecast; no invented 1991 deadline is used.</x:v>
      </x:c>
      <x:c r="E41" s="4" t="str">
        <x:v>Global information access creates real pressures, but digital repression and persistent authoritarian control prevent a simple democracy-caused-by-technology verdict.</x:v>
      </x:c>
      <x:c r="F41" s="4" t="str">
        <x:v>Mixed outcome, not a claim that technology caused the Soviet collapse. Causal attribution is weaker than the observed access/control tension.</x:v>
      </x:c>
      <x:c r="G41" s="4" t="str">
        <x:v>Technology markets and relevant users; no universality unless the forecast expressly requires it.</x:v>
      </x:c>
      <x:c r="H41" s="4" t="str">
        <x:v>MEDIUM</x:v>
      </x:c>
      <x:c r="I41" s="4" t="str">
        <x:v>LOW</x:v>
      </x:c>
      <x:c r="J41" s="4" t="str">
        <x:v>conditional / no fixed deadline</x:v>
      </x:c>
    </x:row>
    <x:row r="42" ht="155" customHeight="1">
      <x:c r="A42" s="4" t="str">
        <x:v>K041</x:v>
      </x:c>
      <x:c r="B42" s="4" t="str">
        <x:v>Wearable diagnosis and health intervention</x:v>
      </x:c>
      <x:c r="C42" s="4" t="str">
        <x:v>Common wearable monitors identify selected acute and chronic problems and trigger useful advice or intervention pathways.</x:v>
      </x:c>
      <x:c r="D42" s="4" t="str">
        <x:v>By late 2018 Apple Watch combined ECG/AFib classification, hard-fall detection and emergency calling; the 2019 wearable survey supports common adoption.</x:v>
      </x:c>
      <x:c r="E42" s="4" t="str">
        <x:v>Those capabilities satisfy a reasonable targeted-condition reading. The forecast did not demand diagnosis of every disease or removal of physicians.</x:v>
      </x:c>
      <x:c r="F42" s="4" t="str">
        <x:v>This is an audit, not medical advice. ECG classification is not universal diagnosis; false results and the need for clinical interpretation remain. “Intervention” includes automated emergency escalation.</x:v>
      </x:c>
      <x:c r="G42" s="4" t="str">
        <x:v>Technology markets and relevant users; no universality unless the forecast expressly requires it.</x:v>
      </x:c>
      <x:c r="H42" s="4" t="str">
        <x:v>MEDIUM</x:v>
      </x:c>
      <x:c r="I42" s="4" t="str">
        <x:v>MEDIUM</x:v>
      </x:c>
      <x:c r="J42" s="4" t="str">
        <x:v>2019</x:v>
      </x:c>
    </x:row>
    <x:row r="43" ht="155" customHeight="1">
      <x:c r="A43" s="4" t="str">
        <x:v>K042</x:v>
      </x:c>
      <x:c r="B43" s="4" t="str">
        <x:v>Longevity escape velocity</x:v>
      </x:c>
      <x:c r="C43" s="4" t="str">
        <x:v>Medical progress adds at least one year of remaining healthy life per calendar year for the relevant people.</x:v>
      </x:c>
      <x:c r="D43" s="4" t="str">
        <x:v>The stated 2029 date remains future.</x:v>
      </x:c>
      <x:c r="E43" s="4" t="str">
        <x:v>Medical gains and changing period life expectancy do not demonstrate sustained longevity escape velocity. Current progress is partial, not evidence that the threshold was crossed.</x:v>
      </x:c>
      <x:c r="F43" s="4" t="str">
        <x:v>Period life-expectancy rebound after a pandemic is not a measurement of sustained escape velocity. Access and cohort definitions must be retained.</x:v>
      </x:c>
      <x:c r="G43" s="4" t="str">
        <x:v>Technology markets and relevant users; no universality unless the forecast expressly requires it.</x:v>
      </x:c>
      <x:c r="H43" s="4" t="str">
        <x:v>MEDIUM</x:v>
      </x:c>
      <x:c r="I43" s="4" t="str">
        <x:v>LOW</x:v>
      </x:c>
      <x:c r="J43" s="4" t="str">
        <x:v>2029</x:v>
      </x:c>
    </x:row>
    <x:row r="44" ht="155" customHeight="1">
      <x:c r="A44" s="4" t="str">
        <x:v>K043</x:v>
      </x:c>
      <x:c r="B44" s="4" t="str">
        <x:v>Brain-to-cloud cognitive integration</x:v>
      </x:c>
      <x:c r="C44" s="4" t="str">
        <x:v>A high-bandwidth direct neural connection integrates a person’s neocortex with cloud AI.</x:v>
      </x:c>
      <x:c r="D44" s="4" t="str">
        <x:v>Early 2030s is not due; the reference endpoint is 2033.</x:v>
      </x:c>
      <x:c r="E44" s="4" t="str">
        <x:v>Sensory-interface research is real, but phones and ordinary AI use do not satisfy a direct high-bandwidth neocortex-cloud connection.</x:v>
      </x:c>
      <x:c r="F44" s="4" t="str">
        <x:v>The source expressly distinguishes therapeutic low-bandwidth interfaces from the proposed cognitive link.</x:v>
      </x:c>
      <x:c r="G44" s="4" t="str">
        <x:v>Technology markets and relevant users; no universality unless the forecast expressly requires it.</x:v>
      </x:c>
      <x:c r="H44" s="4" t="str">
        <x:v>MEDIUM</x:v>
      </x:c>
      <x:c r="I44" s="4" t="str">
        <x:v>LOW</x:v>
      </x:c>
      <x:c r="J44" s="4" t="str">
        <x:v>Early 2030s in March 2024 interview; reference endpoint 2033.</x:v>
      </x:c>
    </x:row>
    <x:row r="45" ht="155" customHeight="1">
      <x:c r="A45" s="4" t="str">
        <x:v>K044</x:v>
      </x:c>
      <x:c r="B45" s="4" t="str">
        <x:v>Renewable electricity reaches the full-demand threshold</x:v>
      </x:c>
      <x:c r="C45" s="4" t="str">
        <x:v>Renewable generation supplies all global electricity demand within ten years of the 2024 interview.</x:v>
      </x:c>
      <x:c r="D45" s="4" t="str">
        <x:v>The interview implies a 2034 deadline, still pending.</x:v>
      </x:c>
      <x:c r="E45" s="4" t="str">
        <x:v>IEA places renewables at 34% of 2025 world electricity generation. This is substantial progress but not 100%.</x:v>
      </x:c>
      <x:c r="F45" s="4" t="str">
        <x:v>This is electricity, unlike the separate all-energy solar forecast. Do not replace delivered generation with installed capacity.</x:v>
      </x:c>
      <x:c r="G45" s="4" t="str">
        <x:v>Technology markets and relevant users; no universality unless the forecast expressly requires it.</x:v>
      </x:c>
      <x:c r="H45" s="4" t="str">
        <x:v>MEDIUM</x:v>
      </x:c>
      <x:c r="I45" s="4" t="str">
        <x:v>LOW</x:v>
      </x:c>
      <x:c r="J45" s="4" t="str">
        <x:v>Within ten years of March 2024: reference 2034.</x:v>
      </x:c>
    </x:row>
    <x:row r="46" ht="155" customHeight="1">
      <x:c r="A46" s="4" t="str">
        <x:v>K045</x:v>
      </x:c>
      <x:c r="B46" s="4" t="str">
        <x:v>Human-level AI by the end of the 2020s</x:v>
      </x:c>
      <x:c r="C46" s="4" t="str">
        <x:v>AI achieves general human-level intellectual competence under an explicitly demanding broad-capability reading.</x:v>
      </x:c>
      <x:c r="D46" s="4" t="str">
        <x:v>The 2029 target is pending.</x:v>
      </x:c>
      <x:c r="E46" s="4" t="str">
        <x:v>Strong language and benchmark performance provides major partial progress; a short imitation game does not establish the complete general-intelligence claim.</x:v>
      </x:c>
      <x:c r="F46" s="4" t="str">
        <x:v>Keep this general forecast distinct from the exact Long Bets protocol. Broader conversational fulfillment is not labeled proof of AGI.</x:v>
      </x:c>
      <x:c r="G46" s="4" t="str">
        <x:v>Technology markets and relevant users; no universality unless the forecast expressly requires it.</x:v>
      </x:c>
      <x:c r="H46" s="4" t="str">
        <x:v>MEDIUM</x:v>
      </x:c>
      <x:c r="I46" s="4" t="str">
        <x:v>LOW</x:v>
      </x:c>
      <x:c r="J46" s="4" t="str">
        <x:v>2029</x:v>
      </x:c>
    </x:row>
    <x:row r="47" ht="155" customHeight="1">
      <x:c r="A47" s="4" t="str">
        <x:v>K046</x:v>
      </x:c>
      <x:c r="B47" s="4" t="str">
        <x:v>Portable computers in many tiny form factors</x:v>
      </x:c>
      <x:c r="C47" s="4" t="str">
        <x:v>Computers are sold in a wide range of small personal forms, including tiny accessories and thin book-sized devices.</x:v>
      </x:c>
      <x:c r="D47" s="4" t="str">
        <x:v>Clip-on shuffle, smartphones, Kindle and thin laptops are concrete pre-deadline form factors.</x:v>
      </x:c>
      <x:c r="E47" s="4" t="str">
        <x:v>Illustrative rings/earrings need not all become equally popular for the varied-miniaturization claim to succeed.</x:v>
      </x:c>
      <x:c r="F47" s="4" t="str">
        <x:v>Assessment is conditional on the stated criterion and population. Documented examples establish availability, not universal adoption. The original book edition has not been independently collated.</x:v>
      </x:c>
      <x:c r="G47" s="4" t="str">
        <x:v>Technology markets and relevant users; no universality unless the forecast expressly requires it.</x:v>
      </x:c>
      <x:c r="H47" s="4" t="str">
        <x:v>MEDIUM</x:v>
      </x:c>
      <x:c r="I47" s="4" t="str">
        <x:v>MEDIUM</x:v>
      </x:c>
      <x:c r="J47" s="4" t="str">
        <x:v>2009</x:v>
      </x:c>
    </x:row>
    <x:row r="48" ht="155" customHeight="1">
      <x:c r="A48" s="4" t="str">
        <x:v>K047</x:v>
      </x:c>
      <x:c r="B48" s="4" t="str">
        <x:v>Automated systems eliminate most human driving</x:v>
      </x:c>
      <x:c r="C48" s="4" t="str">
        <x:v>Automation removes more than half of human driving, retaining the forecast’s “most” threshold.</x:v>
      </x:c>
      <x:c r="D48" s="4" t="str">
        <x:v>2019 road transport still relied predominantly on human drivers.</x:v>
      </x:c>
      <x:c r="E48" s="4" t="str">
        <x:v>Public driverless services are a real advance, but do not establish that most driving has been eliminated across the road system.</x:v>
      </x:c>
      <x:c r="F48" s="4" t="str">
        <x:v>Assessment is conditional on the stated criterion and population. Documented examples establish availability, not universal adoption. The original book edition has not been independently collated.</x:v>
      </x:c>
      <x:c r="G48" s="4" t="str">
        <x:v>Technology markets and relevant users; no universality unless the forecast expressly requires it.</x:v>
      </x:c>
      <x:c r="H48" s="4" t="str">
        <x:v>MEDIUM</x:v>
      </x:c>
      <x:c r="I48" s="4" t="str">
        <x:v>LOW</x:v>
      </x:c>
      <x:c r="J48" s="4" t="str">
        <x:v>2019</x:v>
      </x:c>
    </x:row>
    <x:row r="49" ht="155" customHeight="1">
      <x:c r="A49" s="4" t="str">
        <x:v>K048</x:v>
      </x:c>
      <x:c r="B49" s="4" t="str">
        <x:v>Common many-language speech-to-speech translation</x:v>
      </x:c>
      <x:c r="C49" s="4" t="str">
        <x:v>Ordinary users have practical two-way spoken translation for many language pairs; no perfect all-language requirement.</x:v>
      </x:c>
      <x:c r="D49" s="4" t="str">
        <x:v>Jibbigo provided a real but limited 2009 translating-phone capability. It was not yet a routine many-pair service.</x:v>
      </x:c>
      <x:c r="E49" s="4" t="str">
        <x:v>Google’s 2011 and 2015 conversation/speech products establish the broader consumer capability by 2015. Accents and mistakes do not negate ordinary practical use.</x:v>
      </x:c>
      <x:c r="F49" s="4" t="str">
        <x:v>Do not reuse text-translation language totals as speech totals. The 2015 documented-by year is not asserted as the first possible many-pair translation product.</x:v>
      </x:c>
      <x:c r="G49" s="4" t="str">
        <x:v>Technology markets and relevant users; no universality unless the forecast expressly requires it.</x:v>
      </x:c>
      <x:c r="H49" s="4" t="str">
        <x:v>MEDIUM</x:v>
      </x:c>
      <x:c r="I49" s="4" t="str">
        <x:v>MEDIUM</x:v>
      </x:c>
      <x:c r="J49" s="4" t="str">
        <x:v>2009</x:v>
      </x:c>
    </x:row>
    <x:row r="50" ht="155" customHeight="1">
      <x:c r="A50" s="4" t="str">
        <x:v>K049</x:v>
      </x:c>
      <x:c r="B50" s="4" t="str">
        <x:v>Ubiquitous bidirectional cochlear network interfaces</x:v>
      </x:c>
      <x:c r="C50" s="4" t="str">
        <x:v>Cochlear-style implants are widely used beyond hearing impairment as two-way interfaces to a computing network.</x:v>
      </x:c>
      <x:c r="D50" s="4" t="str">
        <x:v>The 2029 deadline remains future.</x:v>
      </x:c>
      <x:c r="E50" s="4" t="str">
        <x:v>Therapeutic cochlear implants establish only a portion of the predicted technology and population. They are not yet a general network interface for ordinary users.</x:v>
      </x:c>
      <x:c r="F50" s="4" t="str">
        <x:v>Restoring hearing is distinct from bidirectional network communication and widespread elective implantation.</x:v>
      </x:c>
      <x:c r="G50" s="4" t="str">
        <x:v>Technology markets and relevant users; no universality unless the forecast expressly requires it.</x:v>
      </x:c>
      <x:c r="H50" s="4" t="str">
        <x:v>MEDIUM</x:v>
      </x:c>
      <x:c r="I50" s="4" t="str">
        <x:v>LOW</x:v>
      </x:c>
      <x:c r="J50" s="4" t="str">
        <x:v>2029</x:v>
      </x:c>
    </x:row>
    <x:row r="51" ht="155" customHeight="1">
      <x:c r="A51" s="4" t="str">
        <x:v>K050</x:v>
      </x:c>
      <x:c r="B51" s="4" t="str">
        <x:v>Invisible computing embedded throughout the environment</x:v>
      </x:c>
      <x:c r="C51" s="4" t="str">
        <x:v>Computing is commonly embedded unobtrusively in everyday objects and systems, rather than confined to visibly separate PCs.</x:v>
      </x:c>
      <x:c r="D51" s="4" t="str">
        <x:v>Wearables, household robots and networked systems show that embedded computing had become a normal part of surroundings by 2019.</x:v>
      </x:c>
      <x:c r="E51" s="4" t="str">
        <x:v>The reference treats “everywhere” as pervasive integration, not a requirement to implant computers in every chair, wall or person.</x:v>
      </x:c>
      <x:c r="F51" s="4" t="str">
        <x:v>The strength of the embedded trend is an editorial assessment from multiple product classes, not a complete census of every household object. Body implantation is not silently claimed fulfilled.</x:v>
      </x:c>
      <x:c r="G51" s="4" t="str">
        <x:v>Technology markets and relevant users; no universality unless the forecast expressly requires it.</x:v>
      </x:c>
      <x:c r="H51" s="4" t="str">
        <x:v>MEDIUM</x:v>
      </x:c>
      <x:c r="I51" s="4" t="str">
        <x:v>MEDIUM</x:v>
      </x:c>
      <x:c r="J51" s="4" t="str">
        <x:v>2019</x:v>
      </x:c>
    </x:row>
    <x:row r="52" ht="155" customHeight="1">
      <x:c r="A52" s="4" t="str">
        <x:v>K051</x:v>
      </x:c>
      <x:c r="B52" s="4" t="str">
        <x:v>3D integrated circuits become common</x:v>
      </x:c>
      <x:c r="C52" s="4" t="str">
        <x:v>Multilayer active circuitry moves from experiments into ordinary semiconductor products.</x:v>
      </x:c>
      <x:c r="D52" s="4" t="str">
        <x:v>Early stacked/specialized devices made the direction real, but a broad transition to genuinely three-dimensional circuitry was only partial in 2009.</x:v>
      </x:c>
      <x:c r="E52" s="4" t="str">
        <x:v>Samsung’s mass-produced 3D V-NAND from 2013 establishes commercial multilayer circuits. The word “common” need not mean every processor has become 3D.</x:v>
      </x:c>
      <x:c r="F52" s="4" t="str">
        <x:v>2015 is a conservative commercial-era bound, not a measured majority-market crossover. V-NAND is multilayer storage, not self-organizing molecular logic.</x:v>
      </x:c>
      <x:c r="G52" s="4" t="str">
        <x:v>Technology markets and relevant users; no universality unless the forecast expressly requires it.</x:v>
      </x:c>
      <x:c r="H52" s="4" t="str">
        <x:v>MEDIUM</x:v>
      </x:c>
      <x:c r="I52" s="4" t="str">
        <x:v>MEDIUM</x:v>
      </x:c>
      <x:c r="J52" s="4" t="str">
        <x:v>2009</x:v>
      </x:c>
    </x:row>
    <x:row r="53" ht="155" customHeight="1">
      <x:c r="A53" s="4" t="str">
        <x:v>K052</x:v>
      </x:c>
      <x:c r="B53" s="4" t="str">
        <x:v>$1,000 PCs reach one teraflop</x:v>
      </x:c>
      <x:c r="C53" s="4" t="str">
        <x:v>A roughly $1,000 PC can supply about 10^12 peak single-precision operations per second, counting its graphics processor.</x:v>
      </x:c>
      <x:c r="D53" s="4" t="str">
        <x:v>AMD’s 2008 $199–$299 GPU generation supplied about 1–1.2 TFLOPS; the remaining budget could accommodate an ordinary host PC.</x:v>
      </x:c>
      <x:c r="E53" s="4" t="str">
        <x:v>This is a reasonable numerical hardware hit. It is not a claim that every program sustains a teraflop or that GPU and CPU work are interchangeable.</x:v>
      </x:c>
      <x:c r="F53" s="4" t="str">
        <x:v>Sub-$1,000 system feasibility is an explicit cost-budget inference, not a retrieved exact 2008 shopping receipt. Current benchmark reading has medium confidence; arithmetic precision is visible.</x:v>
      </x:c>
      <x:c r="G53" s="4" t="str">
        <x:v>Technology markets and relevant users; no universality unless the forecast expressly requires it.</x:v>
      </x:c>
      <x:c r="H53" s="4" t="str">
        <x:v>MEDIUM</x:v>
      </x:c>
      <x:c r="I53" s="4" t="str">
        <x:v>MEDIUM</x:v>
      </x:c>
      <x:c r="J53" s="4" t="str">
        <x:v>2009</x:v>
      </x:c>
    </x:row>
    <x:row r="54" ht="155" customHeight="1">
      <x:c r="A54" s="4" t="str">
        <x:v>K053</x:v>
      </x:c>
      <x:c r="B54" s="4" t="str">
        <x:v>Idle Internet PCs form virtual supercomputers</x:v>
      </x:c>
      <x:c r="C54" s="4" t="str">
        <x:v>Internet volunteers pool unused computation into virtual parallel systems reaching the stated approximately 20-petaflop scale.</x:v>
      </x:c>
      <x:c r="D54" s="4" t="str">
        <x:v>Volunteer computing was already real, but the 2010 retrospective’s cited throughput was below the 20-petaflop target.</x:v>
      </x:c>
      <x:c r="E54" s="4" t="str">
        <x:v>Folding@home’s documented 2020 exascale aggregate easily exceeds that numerical threshold. It remains distributed task throughput, not a single brain emulator.</x:v>
      </x:c>
      <x:c r="F54" s="4" t="str">
        <x:v>Assessment is conditional on the stated criterion and population. Documented examples establish availability, not universal adoption. The original book edition has not been independently collated.</x:v>
      </x:c>
      <x:c r="G54" s="4" t="str">
        <x:v>Technology markets and relevant users; no universality unless the forecast expressly requires it.</x:v>
      </x:c>
      <x:c r="H54" s="4" t="str">
        <x:v>MEDIUM</x:v>
      </x:c>
      <x:c r="I54" s="4" t="str">
        <x:v>MEDIUM</x:v>
      </x:c>
      <x:c r="J54" s="4" t="str">
        <x:v>2009</x:v>
      </x:c>
    </x:row>
    <x:row r="55" ht="155" customHeight="1">
      <x:c r="A55" s="4" t="str">
        <x:v>K054</x:v>
      </x:c>
      <x:c r="B55" s="4" t="str">
        <x:v>Interest in neural methods grows</x:v>
      </x:c>
      <x:c r="C55" s="4" t="str">
        <x:v>Interest and practical work on neural/evolutionary methods increase while conventional computation remains important.</x:v>
      </x:c>
      <x:c r="D55" s="4" t="str">
        <x:v>The 2006 deep-belief-net paper is a concrete pre-deadline advance consistent with renewed neural-method development.</x:v>
      </x:c>
      <x:c r="E55" s="4" t="str">
        <x:v>The 2012 ImageNet result and subsequent AI systems decisively reinforce the broad direction; no majority-of-all-computation threshold is imposed on this weaker claim.</x:v>
      </x:c>
      <x:c r="F55" s="4" t="str">
        <x:v>One paper alone is not a complete bibliometric series. This qualitative directional assessment does not independently quantify the genetic-algorithm component or the share of all instructions executed.</x:v>
      </x:c>
      <x:c r="G55" s="4" t="str">
        <x:v>Technology markets and relevant users; no universality unless the forecast expressly requires it.</x:v>
      </x:c>
      <x:c r="H55" s="4" t="str">
        <x:v>MEDIUM</x:v>
      </x:c>
      <x:c r="I55" s="4" t="str">
        <x:v>MEDIUM</x:v>
      </x:c>
      <x:c r="J55" s="4" t="str">
        <x:v>2009</x:v>
      </x:c>
    </x:row>
    <x:row r="56" ht="155" customHeight="1">
      <x:c r="A56" s="4" t="str">
        <x:v>K055</x:v>
      </x:c>
      <x:c r="B56" s="4" t="str">
        <x:v>Computer cameras recognize their owners</x:v>
      </x:c>
      <x:c r="C56" s="4" t="str">
        <x:v>Owner recognition by a built-in camera becomes a reliable routine consumer-computing function.</x:v>
      </x:c>
      <x:c r="D56" s="4" t="str">
        <x:v>Webcams and face recognition existed, but reliable everyday authentication was not yet routine across ordinary personal devices in 2009.</x:v>
      </x:c>
      <x:c r="E56" s="4" t="str">
        <x:v>Face ID on the shipping 2017 iPhone X is a clear practical implementation. This establishes late realization without claiming that it was the first face-recognition computer.</x:v>
      </x:c>
      <x:c r="F56" s="4" t="str">
        <x:v>A stronger ordinary-use and security threshold than a lab recognizer is stated explicitly. Initial webcam availability was not the missing part.</x:v>
      </x:c>
      <x:c r="G56" s="4" t="str">
        <x:v>Technology markets and relevant users; no universality unless the forecast expressly requires it.</x:v>
      </x:c>
      <x:c r="H56" s="4" t="str">
        <x:v>MEDIUM</x:v>
      </x:c>
      <x:c r="I56" s="4" t="str">
        <x:v>MEDIUM</x:v>
      </x:c>
      <x:c r="J56" s="4" t="str">
        <x:v>2009</x:v>
      </x:c>
    </x:row>
    <x:row r="57" ht="155" customHeight="1">
      <x:c r="A57" s="4" t="str">
        <x:v>K056</x:v>
      </x:c>
      <x:c r="B57" s="4" t="str">
        <x:v>Students carry personal sub-pound tablets</x:v>
      </x:c>
      <x:c r="C57" s="4" t="str">
        <x:v>Students typically have their own thin, readable tablet computer weighing less than one pound.</x:v>
      </x:c>
      <x:c r="D57" s="4" t="str">
        <x:v>The 2009 school-technology picture does not support typical one-device-per-child ownership, much less the specified tablet weight/form.</x:v>
      </x:c>
      <x:c r="E57" s="4" t="str">
        <x:v>NCES documents extensive school device provision by 2021–22, but that includes loaned laptops and heavier devices; the complete form/ownership claim remains partial.</x:v>
      </x:c>
      <x:c r="F57" s="4" t="str">
        <x:v>US school data are not a worldwide student census. “Students have devices when needed” and “every student owns a specified tablet” are kept separate.</x:v>
      </x:c>
      <x:c r="G57" s="4" t="str">
        <x:v>Technology markets and relevant users; no universality unless the forecast expressly requires it.</x:v>
      </x:c>
      <x:c r="H57" s="4" t="str">
        <x:v>MEDIUM</x:v>
      </x:c>
      <x:c r="I57" s="4" t="str">
        <x:v>LOW</x:v>
      </x:c>
      <x:c r="J57" s="4" t="str">
        <x:v>2009</x:v>
      </x:c>
    </x:row>
    <x:row r="58" ht="155" customHeight="1">
      <x:c r="A58" s="4" t="str">
        <x:v>K057</x:v>
      </x:c>
      <x:c r="B58" s="4" t="str">
        <x:v>Learning materials arrive wirelessly</x:v>
      </x:c>
      <x:c r="C58" s="4" t="str">
        <x:v>Learners can ordinarily obtain educational content through wireless Internet access.</x:v>
      </x:c>
      <x:c r="D58" s="4" t="str">
        <x:v>iTunes U distributed university material in 2007; contemporary wireless access and connected portable computers supplied the delivery route.</x:v>
      </x:c>
      <x:c r="E58" s="4" t="str">
        <x:v>This is an availability/distribution claim, not a claim that every course or school has discarded physical books.</x:v>
      </x:c>
      <x:c r="F58" s="4" t="str">
        <x:v>Assessment is conditional on the stated criterion and population. Documented examples establish availability, not universal adoption. The original book edition has not been independently collated.</x:v>
      </x:c>
      <x:c r="G58" s="4" t="str">
        <x:v>Technology markets and relevant users; no universality unless the forecast expressly requires it.</x:v>
      </x:c>
      <x:c r="H58" s="4" t="str">
        <x:v>MEDIUM</x:v>
      </x:c>
      <x:c r="I58" s="4" t="str">
        <x:v>MEDIUM</x:v>
      </x:c>
      <x:c r="J58" s="4" t="str">
        <x:v>2009</x:v>
      </x:c>
    </x:row>
    <x:row r="59" ht="155" customHeight="1">
      <x:c r="A59" s="4" t="str">
        <x:v>K058</x:v>
      </x:c>
      <x:c r="B59" s="4" t="str">
        <x:v>Teachers shift mainly to mentoring</x:v>
      </x:c>
      <x:c r="C59" s="4" t="str">
        <x:v>Software supplies enough instruction that teachers primarily handle motivation, well-being and socialization.</x:v>
      </x:c>
      <x:c r="D59" s="4" t="str">
        <x:v>Classroom software was real, but the human teacher’s principal instructional role had not generally been displaced in 2009.</x:v>
      </x:c>
      <x:c r="E59" s="4" t="str">
        <x:v>Digital materials and AI help instruction, yet human teachers remain central knowledge instructors. The claimed role rebalancing remains partial, not merely awaiting a perfect survey.</x:v>
      </x:c>
      <x:c r="F59" s="4" t="str">
        <x:v>Qualitative role judgment, not a measured global allocation of teacher minutes. UNESCO’s guidance is context, not by itself proof of adoption rates.</x:v>
      </x:c>
      <x:c r="G59" s="4" t="str">
        <x:v>Technology markets and relevant users; no universality unless the forecast expressly requires it.</x:v>
      </x:c>
      <x:c r="H59" s="4" t="str">
        <x:v>MEDIUM</x:v>
      </x:c>
      <x:c r="I59" s="4" t="str">
        <x:v>LOW</x:v>
      </x:c>
      <x:c r="J59" s="4" t="str">
        <x:v>2009</x:v>
      </x:c>
    </x:row>
    <x:row r="60" ht="155" customHeight="1">
      <x:c r="A60" s="4" t="str">
        <x:v>K059</x:v>
      </x:c>
      <x:c r="B60" s="4" t="str">
        <x:v>At least half of transactions occur online</x:v>
      </x:c>
      <x:c r="C60" s="4" t="str">
        <x:v>Online purchase transactions dominate ordinary consumer commerce; retail sales value is the stated empirical proxy.</x:v>
      </x:c>
      <x:c r="D60" s="4" t="str">
        <x:v>US retail e-commerce was only about 3.7% of retail sales in 2009, far from a half-share consumer-commerce interpretation.</x:v>
      </x:c>
      <x:c r="E60" s="4" t="str">
        <x:v>The 2026 Q2 US share was 17.1%, still below half. This does not decide whether a different denominator including interbank, stock-market or B2B messages might pass.</x:v>
      </x:c>
      <x:c r="F60" s="4" t="str">
        <x:v>This is an explicit proxy-based conditional miss, not a false claim to measure all global transactions. Value share differs from transaction count. Reference confidence is medium; display that limitation next to the verdict.</x:v>
      </x:c>
      <x:c r="G60" s="4" t="str">
        <x:v>Technology markets and relevant users; no universality unless the forecast expressly requires it.</x:v>
      </x:c>
      <x:c r="H60" s="4" t="str">
        <x:v>MEDIUM</x:v>
      </x:c>
      <x:c r="I60" s="4" t="str">
        <x:v>LOW</x:v>
      </x:c>
      <x:c r="J60" s="4" t="str">
        <x:v>2009</x:v>
      </x:c>
    </x:row>
    <x:row r="61" ht="155" customHeight="1">
      <x:c r="A61" s="4" t="str">
        <x:v>K060</x:v>
      </x:c>
      <x:c r="B61" s="4" t="str">
        <x:v>Work groups become geographically distributed</x:v>
      </x:c>
      <x:c r="C61" s="4" t="str">
        <x:v>A strong practical trend toward geographically distributed collaboration emerges.</x:v>
      </x:c>
      <x:c r="D61" s="4" t="str">
        <x:v>Cisco’s 2007 WebEx acquisition described more than 2.2 million registered users collaborating online.</x:v>
      </x:c>
      <x:c r="E61" s="4" t="str">
        <x:v>Teams’ 2019 usage further substantiates the direction. The forecast does not require most workers to work remotely or the end of offices.</x:v>
      </x:c>
      <x:c r="F61" s="4" t="str">
        <x:v>Assessment is conditional on the stated criterion and population. Documented examples establish availability, not universal adoption. The original book edition has not been independently collated.</x:v>
      </x:c>
      <x:c r="G61" s="4" t="str">
        <x:v>Technology markets and relevant users; no universality unless the forecast expressly requires it.</x:v>
      </x:c>
      <x:c r="H61" s="4" t="str">
        <x:v>MEDIUM</x:v>
      </x:c>
      <x:c r="I61" s="4" t="str">
        <x:v>MEDIUM</x:v>
      </x:c>
      <x:c r="J61" s="4" t="str">
        <x:v>2009</x:v>
      </x:c>
    </x:row>
    <x:row r="62" ht="155" customHeight="1">
      <x:c r="A62" s="4" t="str">
        <x:v>K061</x:v>
      </x:c>
      <x:c r="B62" s="4" t="str">
        <x:v>Household robots emerge before full acceptance</x:v>
      </x:c>
      <x:c r="C62" s="4" t="str">
        <x:v>Useful household robots are commercially established but not yet universally accepted.</x:v>
      </x:c>
      <x:c r="D62" s="4" t="str">
        <x:v>Roomba launched in 2002 and iRobot reported five million home robots sold just after the 2009 year-end; this confirms a substantial pre-deadline product category.</x:v>
      </x:c>
      <x:c r="E62" s="4" t="str">
        <x:v>The existence/emergence claim was met. Later broader adoption does not retroactively invalidate the accurate early-stage description.</x:v>
      </x:c>
      <x:c r="F62" s="4" t="str">
        <x:v>The January 2010 tally is retrospective evidence, not a reason to treat the entire 2000s robot emergence as late. This is distinct from the stronger 2019 ubiquity forecast K080.</x:v>
      </x:c>
      <x:c r="G62" s="4" t="str">
        <x:v>Technology markets and relevant users; no universality unless the forecast expressly requires it.</x:v>
      </x:c>
      <x:c r="H62" s="4" t="str">
        <x:v>MEDIUM</x:v>
      </x:c>
      <x:c r="I62" s="4" t="str">
        <x:v>MEDIUM</x:v>
      </x:c>
      <x:c r="J62" s="4" t="str">
        <x:v>2009</x:v>
      </x:c>
    </x:row>
    <x:row r="63" ht="155" customHeight="1">
      <x:c r="A63" s="4" t="str">
        <x:v>K062</x:v>
      </x:c>
      <x:c r="B63" s="4" t="str">
        <x:v>Telemedicine includes remote tactile examinations</x:v>
      </x:c>
      <x:c r="C63" s="4" t="str">
        <x:v>Remote examinations using sight, sound and tactile sensing are widely used.</x:v>
      </x:c>
      <x:c r="D63" s="4" t="str">
        <x:v>Audio/video telemedicine and remote-device demonstrations did not make the full visual-auditory-haptic package widespread in 2009.</x:v>
      </x:c>
      <x:c r="E63" s="4" t="str">
        <x:v>The 37% US adult telemedicine-use figure for 2021 establishes ordinary audio/video care, but not widespread remotely conveyed tactile examination.</x:v>
      </x:c>
      <x:c r="F63" s="4" t="str">
        <x:v>Does not infer telemedicine efficacy or recommend care. The input-modality difference is material and remains visible.</x:v>
      </x:c>
      <x:c r="G63" s="4" t="str">
        <x:v>Technology markets and relevant users; no universality unless the forecast expressly requires it.</x:v>
      </x:c>
      <x:c r="H63" s="4" t="str">
        <x:v>MEDIUM</x:v>
      </x:c>
      <x:c r="I63" s="4" t="str">
        <x:v>LOW</x:v>
      </x:c>
      <x:c r="J63" s="4" t="str">
        <x:v>2009</x:v>
      </x:c>
    </x:row>
    <x:row r="64" ht="155" customHeight="1">
      <x:c r="A64" s="4" t="str">
        <x:v>K063</x:v>
      </x:c>
      <x:c r="B64" s="4" t="str">
        <x:v>Pattern recognition becomes routine in medical imaging</x:v>
      </x:c>
      <x:c r="C64" s="4" t="str">
        <x:v>Computer pattern recognition is used routinely in important diagnostic imaging workflows.</x:v>
      </x:c>
      <x:c r="D64" s="4" t="str">
        <x:v>Computer-aided detection accompanied 74% of Medicare screening mammograms in 2008, a concrete routine clinical workflow.</x:v>
      </x:c>
      <x:c r="E64" s="4" t="str">
        <x:v>This fulfills routine use even though CAD does not always improve outcomes. It does not require autonomous diagnosis in every specialty.</x:v>
      </x:c>
      <x:c r="F64" s="4" t="str">
        <x:v>Medicare screening mammography is a documented substantial use case, not evidence all imaging was automated or that CAD was superior to clinicians.</x:v>
      </x:c>
      <x:c r="G64" s="4" t="str">
        <x:v>Technology markets and relevant users; no universality unless the forecast expressly requires it.</x:v>
      </x:c>
      <x:c r="H64" s="4" t="str">
        <x:v>MEDIUM</x:v>
      </x:c>
      <x:c r="I64" s="4" t="str">
        <x:v>MEDIUM</x:v>
      </x:c>
      <x:c r="J64" s="4" t="str">
        <x:v>2009</x:v>
      </x:c>
    </x:row>
    <x:row r="65" ht="155" customHeight="1">
      <x:c r="A65" s="4" t="str">
        <x:v>K064</x:v>
      </x:c>
      <x:c r="B65" s="4" t="str">
        <x:v>Patient histories become lifelong digital records</x:v>
      </x:c>
      <x:c r="C65" s="4" t="str">
        <x:v>Longitudinal patient histories are ordinarily kept digitally; “lifetime” means accumulating records over a patient’s life, not retroactive digitization of every scrap.</x:v>
      </x:c>
      <x:c r="D65" s="4" t="str">
        <x:v>EHR adoption was still low in the 2008–2009 US baseline, so ordinary digital longitudinal records were only partly realized.</x:v>
      </x:c>
      <x:c r="E65" s="4" t="str">
        <x:v>By 2014 most US hospitals and more than half of physicians had adopted EHRs; subsequent adoption increased. This supports late longitudinal-database fulfillment.</x:v>
      </x:c>
      <x:c r="F65" s="4" t="str">
        <x:v>US adoption is the explicit evaluation population. Reference does not demand universality, but it also does not claim all historic records are complete or interoperable.</x:v>
      </x:c>
      <x:c r="G65" s="4" t="str">
        <x:v>Technology markets and relevant users; no universality unless the forecast expressly requires it.</x:v>
      </x:c>
      <x:c r="H65" s="4" t="str">
        <x:v>MEDIUM</x:v>
      </x:c>
      <x:c r="I65" s="4" t="str">
        <x:v>MEDIUM</x:v>
      </x:c>
      <x:c r="J65" s="4" t="str">
        <x:v>2009</x:v>
      </x:c>
    </x:row>
    <x:row r="66" ht="155" customHeight="1">
      <x:c r="A66" s="4" t="str">
        <x:v>K065</x:v>
      </x:c>
      <x:c r="B66" s="4" t="str">
        <x:v>Screens become the preferred visual-art medium</x:v>
      </x:c>
      <x:c r="C66" s="4" t="str">
        <x:v>Computer screens become the prevailing medium for visual-art creation/presentation, with intelligent software collaboration.</x:v>
      </x:c>
      <x:c r="D66" s="4" t="str">
        <x:v>Digital art tools were established, but the broad claim of preference across visual art was stronger than the evidence of availability.</x:v>
      </x:c>
      <x:c r="E66" s="4" t="str">
        <x:v>AI art receives serious recognition, yet painting, sculpture, print and physical display remain important; there is no defensible universal medium-of-choice ranking here.</x:v>
      </x:c>
      <x:c r="F66" s="4" t="str">
        <x:v>This is a mixed adoption judgment, not a claim that physical art’s continued existence alone defeats a majority claim. The relevant market-share denominator is intrinsically diffuse.</x:v>
      </x:c>
      <x:c r="G66" s="4" t="str">
        <x:v>Technology markets and relevant users; no universality unless the forecast expressly requires it.</x:v>
      </x:c>
      <x:c r="H66" s="4" t="str">
        <x:v>MEDIUM</x:v>
      </x:c>
      <x:c r="I66" s="4" t="str">
        <x:v>LOW</x:v>
      </x:c>
      <x:c r="J66" s="4" t="str">
        <x:v>2009</x:v>
      </x:c>
    </x:row>
    <x:row r="67" ht="155" customHeight="1">
      <x:c r="A67" s="4" t="str">
        <x:v>K066</x:v>
      </x:c>
      <x:c r="B67" s="4" t="str">
        <x:v>Nonmusicians compose music with software</x:v>
      </x:c>
      <x:c r="C67" s="4" t="str">
        <x:v>Ordinary people without instrumental training can construct music with software.</x:v>
      </x:c>
      <x:c r="D67" s="4" t="str">
        <x:v>GarageBand’s 2004 loop/instrument tools were explicitly designed to make music creation accessible without conventional musicianship.</x:v>
      </x:c>
      <x:c r="E67" s="4" t="str">
        <x:v>The functional prediction was met; brain-wave control in the passage is an example, not a condition imposed on all composition.</x:v>
      </x:c>
      <x:c r="F67" s="4" t="str">
        <x:v>Assessment is conditional on the stated criterion and population. Documented examples establish availability, not universal adoption. The original book edition has not been independently collated.</x:v>
      </x:c>
      <x:c r="G67" s="4" t="str">
        <x:v>Technology markets and relevant users; no universality unless the forecast expressly requires it.</x:v>
      </x:c>
      <x:c r="H67" s="4" t="str">
        <x:v>MEDIUM</x:v>
      </x:c>
      <x:c r="I67" s="4" t="str">
        <x:v>MEDIUM</x:v>
      </x:c>
      <x:c r="J67" s="4" t="str">
        <x:v>2009</x:v>
      </x:c>
    </x:row>
    <x:row r="68" ht="155" customHeight="1">
      <x:c r="A68" s="4" t="str">
        <x:v>K067</x:v>
      </x:c>
      <x:c r="B68" s="4" t="str">
        <x:v>Remote touch technology begins to emerge</x:v>
      </x:c>
      <x:c r="C68" s="4" t="str">
        <x:v>Networked haptics let people touch or manipulate distant objects/other users in limited practical demonstrations.</x:v>
      </x:c>
      <x:c r="D68" s="4" t="str">
        <x:v>The scholarly account of the 2002 Boston–London virtual handshake establishes the emerging capability well before 2009.</x:v>
      </x:c>
      <x:c r="E68" s="4" t="str">
        <x:v>Further haptics progress preserves this modest success. The stronger full-body tactile claim is separately scored K031.</x:v>
      </x:c>
      <x:c r="F68" s="4" t="str">
        <x:v>Assessment is conditional on the stated criterion and population. Documented examples establish availability, not universal adoption. The original book edition has not been independently collated.</x:v>
      </x:c>
      <x:c r="G68" s="4" t="str">
        <x:v>Technology markets and relevant users; no universality unless the forecast expressly requires it.</x:v>
      </x:c>
      <x:c r="H68" s="4" t="str">
        <x:v>MEDIUM</x:v>
      </x:c>
      <x:c r="I68" s="4" t="str">
        <x:v>MEDIUM</x:v>
      </x:c>
      <x:c r="J68" s="4" t="str">
        <x:v>2009</x:v>
      </x:c>
    </x:row>
    <x:row r="69" ht="155" customHeight="1">
      <x:c r="A69" s="4" t="str">
        <x:v>K068</x:v>
      </x:c>
      <x:c r="B69" s="4" t="str">
        <x:v>Photorealistic virtual rooms replace text chat</x:v>
      </x:c>
      <x:c r="C69" s="4" t="str">
        <x:v>Full-visual-realism virtual environments displace ordinary text chat rooms.</x:v>
      </x:c>
      <x:c r="D69" s="4" t="str">
        <x:v>Early virtual worlds did not provide full realism or replace mainstream text conversation in 2009.</x:v>
      </x:c>
      <x:c r="E69" s="4" t="str">
        <x:v>Widely used text-centered collaboration and messaging persist alongside virtual environments. Coexistence is not replacement.</x:v>
      </x:c>
      <x:c r="F69" s="4" t="str">
        <x:v>Assessment is conditional on the stated criterion and population. Documented examples establish availability, not universal adoption. The original book edition has not been independently collated.</x:v>
      </x:c>
      <x:c r="G69" s="4" t="str">
        <x:v>Technology markets and relevant users; no universality unless the forecast expressly requires it.</x:v>
      </x:c>
      <x:c r="H69" s="4" t="str">
        <x:v>MEDIUM</x:v>
      </x:c>
      <x:c r="I69" s="4" t="str">
        <x:v>LOW</x:v>
      </x:c>
      <x:c r="J69" s="4" t="str">
        <x:v>2009</x:v>
      </x:c>
    </x:row>
    <x:row r="70" ht="155" customHeight="1">
      <x:c r="A70" s="4" t="str">
        <x:v>K069</x:v>
      </x:c>
      <x:c r="B70" s="4" t="str">
        <x:v>Wireless phones routinely carry live video</x:v>
      </x:c>
      <x:c r="C70" s="4" t="str">
        <x:v>Wireless personal calls routinely include usable live video, not merely an experimental video phone.</x:v>
      </x:c>
      <x:c r="D70" s="4" t="str">
        <x:v>Wireless voice and webcam meetings were real, but ordinary handset video calling was not yet routine in 2009.</x:v>
      </x:c>
      <x:c r="E70" s="4" t="str">
        <x:v>Integrated phone cameras, mobile video services and established consumer communication platforms make the function ordinary by the 2010s.</x:v>
      </x:c>
      <x:c r="F70" s="4" t="str">
        <x:v>2019 is a conservative documented-by date for routine use, not the invention of video calling. The claim is capability/adoption, not that every call transmits video.</x:v>
      </x:c>
      <x:c r="G70" s="4" t="str">
        <x:v>Technology markets and relevant users; no universality unless the forecast expressly requires it.</x:v>
      </x:c>
      <x:c r="H70" s="4" t="str">
        <x:v>MEDIUM</x:v>
      </x:c>
      <x:c r="I70" s="4" t="str">
        <x:v>MEDIUM</x:v>
      </x:c>
      <x:c r="J70" s="4" t="str">
        <x:v>2009</x:v>
      </x:c>
    </x:row>
    <x:row r="71" ht="155" customHeight="1">
      <x:c r="A71" s="4" t="str">
        <x:v>K070</x:v>
      </x:c>
      <x:c r="B71" s="4" t="str">
        <x:v>Electronic storage fully replaces rotating media</x:v>
      </x:c>
      <x:c r="C71" s="4" t="str">
        <x:v>Rotating magnetic and optical computer storage is fully replaced by electronic storage.</x:v>
      </x:c>
      <x:c r="D71" s="4" t="str">
        <x:v>Hard drives remained substantial in 2019; solid-state adoption did not amount to full replacement.</x:v>
      </x:c>
      <x:c r="E71" s="4" t="str">
        <x:v>Seagate’s 2026 32 TB drive rollout provides a direct current counterexample. “Fully replaced” is genuinely stronger than “widely available.”</x:v>
      </x:c>
      <x:c r="F71" s="4" t="str">
        <x:v>Assessment is conditional on the stated criterion and population. Documented examples establish availability, not universal adoption. The original book edition has not been independently collated.</x:v>
      </x:c>
      <x:c r="G71" s="4" t="str">
        <x:v>Technology markets and relevant users; no universality unless the forecast expressly requires it.</x:v>
      </x:c>
      <x:c r="H71" s="4" t="str">
        <x:v>MEDIUM</x:v>
      </x:c>
      <x:c r="I71" s="4" t="str">
        <x:v>LOW</x:v>
      </x:c>
      <x:c r="J71" s="4" t="str">
        <x:v>2019</x:v>
      </x:c>
    </x:row>
    <x:row r="72" ht="155" customHeight="1">
      <x:c r="A72" s="4" t="str">
        <x:v>K071</x:v>
      </x:c>
      <x:c r="B72" s="4" t="str">
        <x:v>Carbon-nanotube circuitry becomes prevalent</x:v>
      </x:c>
      <x:c r="C72" s="4" t="str">
        <x:v>Three-dimensional carbon-nanotube lattices are a prevalent computing-circuit technology.</x:v>
      </x:c>
      <x:c r="D72" s="4" t="str">
        <x:v>MIT’s 2019 carbon-nanotube processor was a research prototype, not the prevalent industrial circuit architecture.</x:v>
      </x:c>
      <x:c r="E72" s="4" t="str">
        <x:v>Carbon-nanotube research is not evidence of dominant production adoption. The forecast’s material choice was not realized by ordinary silicon scaling.</x:v>
      </x:c>
      <x:c r="F72" s="4" t="str">
        <x:v>Assessment is conditional on the stated criterion and population. Documented examples establish availability, not universal adoption. The original book edition has not been independently collated.</x:v>
      </x:c>
      <x:c r="G72" s="4" t="str">
        <x:v>Technology markets and relevant users; no universality unless the forecast expressly requires it.</x:v>
      </x:c>
      <x:c r="H72" s="4" t="str">
        <x:v>MEDIUM</x:v>
      </x:c>
      <x:c r="I72" s="4" t="str">
        <x:v>LOW</x:v>
      </x:c>
      <x:c r="J72" s="4" t="str">
        <x:v>2019</x:v>
      </x:c>
    </x:row>
    <x:row r="73" ht="155" customHeight="1">
      <x:c r="A73" s="4" t="str">
        <x:v>K072</x:v>
      </x:c>
      <x:c r="B73" s="4" t="str">
        <x:v>Neural and genetic methods consume most computation</x:v>
      </x:c>
      <x:c r="C73" s="4" t="str">
        <x:v>Neural networks and genetic algorithms account for more than half of computing work across the intended general computing population.</x:v>
      </x:c>
      <x:c r="D73" s="4" t="str">
        <x:v>Important neural successes by 2019 did not establish majority use across all computation.</x:v>
      </x:c>
      <x:c r="E73" s="4" t="str">
        <x:v>AI compute has become a major workload, but a global majority depends on the population and unit of work. The directional expansion is substantial; the literal aggregate threshold is not established.</x:v>
      </x:c>
      <x:c r="F73" s="4" t="str">
        <x:v>No invented count of all global operations. Reference PARTIAL reflects genuine importance plus an unestablished majority, not confidence that the majority is mathematically impossible.</x:v>
      </x:c>
      <x:c r="G73" s="4" t="str">
        <x:v>Technology markets and relevant users; no universality unless the forecast expressly requires it.</x:v>
      </x:c>
      <x:c r="H73" s="4" t="str">
        <x:v>MEDIUM</x:v>
      </x:c>
      <x:c r="I73" s="4" t="str">
        <x:v>LOW</x:v>
      </x:c>
      <x:c r="J73" s="4" t="str">
        <x:v>2019</x:v>
      </x:c>
    </x:row>
    <x:row r="74" ht="155" customHeight="1">
      <x:c r="A74" s="4" t="str">
        <x:v>K073</x:v>
      </x:c>
      <x:c r="B74" s="4" t="str">
        <x:v>Brain scanning clarifies specialized neural regions</x:v>
      </x:c>
      <x:c r="C74" s="4" t="str">
        <x:v>Brain scanning makes significant progress in identifying specialized regions and computational organization.</x:v>
      </x:c>
      <x:c r="D74" s="4" t="str">
        <x:v>The 2016 human cortical map identified 180 areas per hemisphere, a concrete regional reverse-engineering advance.</x:v>
      </x:c>
      <x:c r="E74" s="4" t="str">
        <x:v>Whole-animal connectomes and cell atlases add substantial progress. This modest forecast does not require a complete human emulation.</x:v>
      </x:c>
      <x:c r="F74" s="4" t="str">
        <x:v>Assessment is conditional on the stated criterion and population. Documented examples establish availability, not universal adoption. The original book edition has not been independently collated.</x:v>
      </x:c>
      <x:c r="G74" s="4" t="str">
        <x:v>Technology markets and relevant users; no universality unless the forecast expressly requires it.</x:v>
      </x:c>
      <x:c r="H74" s="4" t="str">
        <x:v>MEDIUM</x:v>
      </x:c>
      <x:c r="I74" s="4" t="str">
        <x:v>MEDIUM</x:v>
      </x:c>
      <x:c r="J74" s="4" t="str">
        <x:v>2019</x:v>
      </x:c>
    </x:row>
    <x:row r="75" ht="155" customHeight="1">
      <x:c r="A75" s="4" t="str">
        <x:v>K074</x:v>
      </x:c>
      <x:c r="B75" s="4" t="str">
        <x:v>Tiny diffraction cameras replace most lenses</x:v>
      </x:c>
      <x:c r="C75" s="4" t="str">
        <x:v>The specified pinhead-scale lensless/diffraction technology replaces most conventional camera lenses.</x:v>
      </x:c>
      <x:c r="D75" s="4" t="str">
        <x:v>Ordinary smartphone cameras still relied on lenses in 2019; tiny camera sensors did not fulfill the optical substitution.</x:v>
      </x:c>
      <x:c r="E75" s="4" t="str">
        <x:v>Computational imaging is widespread, but not equivalent to majority replacement of optics with the specified diffraction architecture.</x:v>
      </x:c>
      <x:c r="F75" s="4" t="str">
        <x:v>Current nonfulfillment is a technology-market judgment supported by mainstream device architecture, not a quantitative global lens census. Laboratory lensless devices do not prove replacement.</x:v>
      </x:c>
      <x:c r="G75" s="4" t="str">
        <x:v>Technology markets and relevant users; no universality unless the forecast expressly requires it.</x:v>
      </x:c>
      <x:c r="H75" s="4" t="str">
        <x:v>MEDIUM</x:v>
      </x:c>
      <x:c r="I75" s="4" t="str">
        <x:v>LOW</x:v>
      </x:c>
      <x:c r="J75" s="4" t="str">
        <x:v>2019</x:v>
      </x:c>
    </x:row>
    <x:row r="76" ht="155" customHeight="1">
      <x:c r="A76" s="4" t="str">
        <x:v>K075</x:v>
      </x:c>
      <x:c r="B76" s="4" t="str">
        <x:v>Calls provide convincing three-dimensional presence</x:v>
      </x:c>
      <x:c r="C76" s="4" t="str">
        <x:v>Routine calls offer three-dimensional physical-presence realism using the specified direct-eye or holographic display systems.</x:v>
      </x:c>
      <x:c r="D76" s="4" t="str">
        <x:v>Ordinary 2019 video calls did not deliver the asserted 3D physical-presence experience and acuity.</x:v>
      </x:c>
      <x:c r="E76" s="4" t="str">
        <x:v>Google Beam/HP Dimension demonstrates a serious enterprise 3D telepresence direction, but not routine consumer calls or proven above-human acuity.</x:v>
      </x:c>
      <x:c r="F76" s="4" t="str">
        <x:v>A product announcement is evidence of a demonstrated capability and commercial offering, not of widespread deployment. The broader label is explicitly limited to practical specialist availability.</x:v>
      </x:c>
      <x:c r="G76" s="4" t="str">
        <x:v>Technology markets and relevant users; no universality unless the forecast expressly requires it.</x:v>
      </x:c>
      <x:c r="H76" s="4" t="str">
        <x:v>MEDIUM</x:v>
      </x:c>
      <x:c r="I76" s="4" t="str">
        <x:v>LOW</x:v>
      </x:c>
      <x:c r="J76" s="4" t="str">
        <x:v>2019</x:v>
      </x:c>
    </x:row>
    <x:row r="77" ht="155" customHeight="1">
      <x:c r="A77" s="4" t="str">
        <x:v>K076</x:v>
      </x:c>
      <x:c r="B77" s="4" t="str">
        <x:v>Most meetings need no physical co-location</x:v>
      </x:c>
      <x:c r="C77" s="4" t="str">
        <x:v>Most ordinary information-sharing meetings can be conducted without co-location; the wording is about need, not actual venue share.</x:v>
      </x:c>
      <x:c r="D77" s="4" t="str">
        <x:v>Large-scale video and collaboration platforms already supported ordinary distributed meetings by 2019.</x:v>
      </x:c>
      <x:c r="E77" s="4" t="str">
        <x:v>The capability remains established. It would misread this claim to require proof that most meetings actually happened online.</x:v>
      </x:c>
      <x:c r="F77" s="4" t="str">
        <x:v>Excludes hands-on physical work for which co-location may be intrinsic. The word “need” is not silently changed into a survey claim about where all meetings occurred.</x:v>
      </x:c>
      <x:c r="G77" s="4" t="str">
        <x:v>Technology markets and relevant users; no universality unless the forecast expressly requires it.</x:v>
      </x:c>
      <x:c r="H77" s="4" t="str">
        <x:v>MEDIUM</x:v>
      </x:c>
      <x:c r="I77" s="4" t="str">
        <x:v>MEDIUM</x:v>
      </x:c>
      <x:c r="J77" s="4" t="str">
        <x:v>2019</x:v>
      </x:c>
    </x:row>
    <x:row r="78" ht="155" customHeight="1">
      <x:c r="A78" s="4" t="str">
        <x:v>K077</x:v>
      </x:c>
      <x:c r="B78" s="4" t="str">
        <x:v>Practical speech translation covers common language pairs</x:v>
      </x:c>
      <x:c r="C78" s="4" t="str">
        <x:v>Ordinary users can access useful two-way speech translation for common languages in everyday contexts.</x:v>
      </x:c>
      <x:c r="D78" s="4" t="str">
        <x:v>Google’s earlier conversation/speech products support this ordinary functional reading well before 2019.</x:v>
      </x:c>
      <x:c r="E78" s="4" t="str">
        <x:v>Practical translation is a success; errors in idioms, accents or specialist contexts do not justify demanding universal perfect translation.</x:v>
      </x:c>
      <x:c r="F78" s="4" t="str">
        <x:v>No clinical/legal interpretation recommendation. “High quality” is explicitly operationalized as useful everyday communication, not flawless or expert-grade output.</x:v>
      </x:c>
      <x:c r="G78" s="4" t="str">
        <x:v>Technology markets and relevant users; no universality unless the forecast expressly requires it.</x:v>
      </x:c>
      <x:c r="H78" s="4" t="str">
        <x:v>MEDIUM</x:v>
      </x:c>
      <x:c r="I78" s="4" t="str">
        <x:v>MEDIUM</x:v>
      </x:c>
      <x:c r="J78" s="4" t="str">
        <x:v>2019</x:v>
      </x:c>
    </x:row>
    <x:row r="79" ht="155" customHeight="1">
      <x:c r="A79" s="4" t="str">
        <x:v>K078</x:v>
      </x:c>
      <x:c r="B79" s="4" t="str">
        <x:v>AI tutors deliver most learning</x:v>
      </x:c>
      <x:c r="C79" s="4" t="str">
        <x:v>More than half of learning is supplied by intelligent simulated teachers, rather than human instruction or ordinary learning resources.</x:v>
      </x:c>
      <x:c r="D79" s="4" t="str">
        <x:v>2019 classroom and distance learning did not predominantly use intelligent simulated teachers.</x:v>
      </x:c>
      <x:c r="E79" s="4" t="str">
        <x:v>AI tutoring is a growing capability, but teacher-based education and other learning remain central. A video lecture or web page is not automatically an intelligent tutor.</x:v>
      </x:c>
      <x:c r="F79" s="4" t="str">
        <x:v>There is no global all-learning-hours census. The miss is a reasoned medium-confidence assessment of the central majority claim, not an invented precise share.</x:v>
      </x:c>
      <x:c r="G79" s="4" t="str">
        <x:v>Technology markets and relevant users; no universality unless the forecast expressly requires it.</x:v>
      </x:c>
      <x:c r="H79" s="4" t="str">
        <x:v>MEDIUM</x:v>
      </x:c>
      <x:c r="I79" s="4" t="str">
        <x:v>LOW</x:v>
      </x:c>
      <x:c r="J79" s="4" t="str">
        <x:v>2019</x:v>
      </x:c>
    </x:row>
    <x:row r="80" ht="155" customHeight="1">
      <x:c r="A80" s="4" t="str">
        <x:v>K079</x:v>
      </x:c>
      <x:c r="B80" s="4" t="str">
        <x:v>Workers spend most time learning</x:v>
      </x:c>
      <x:c r="C80" s="4" t="str">
        <x:v>Typical adult workers spend a majority of their time acquiring new knowledge/skills as a primary activity, not merely incidental learning while doing any job.</x:v>
      </x:c>
      <x:c r="D80" s="4" t="str">
        <x:v>BLS time-use evidence does not resemble a majority of time devoted to study/retraining.</x:v>
      </x:c>
      <x:c r="E80" s="4" t="str">
        <x:v>Continuing education remains important, but calling all productive work “learning” would make the forecast untestable. On an ordinary primary-activity reading it remains a miss.</x:v>
      </x:c>
      <x:c r="F80" s="4" t="str">
        <x:v>Formal time-use measures undercount informal workplace learning. That affects confidence, not the distinction between an activity-majority claim and an all-work-is-learning tautology.</x:v>
      </x:c>
      <x:c r="G80" s="4" t="str">
        <x:v>Technology markets and relevant users; no universality unless the forecast expressly requires it.</x:v>
      </x:c>
      <x:c r="H80" s="4" t="str">
        <x:v>MEDIUM</x:v>
      </x:c>
      <x:c r="I80" s="4" t="str">
        <x:v>LOW</x:v>
      </x:c>
      <x:c r="J80" s="4" t="str">
        <x:v>2019</x:v>
      </x:c>
    </x:row>
    <x:row r="81" ht="155" customHeight="1">
      <x:c r="A81" s="4" t="str">
        <x:v>K080</x:v>
      </x:c>
      <x:c r="B81" s="4" t="str">
        <x:v>Reliable household robots become ubiquitous</x:v>
      </x:c>
      <x:c r="C81" s="4" t="str">
        <x:v>Cleaning/chores robots are near-ubiquitous household equipment, not merely a successful appliance category.</x:v>
      </x:c>
      <x:c r="D81" s="4" t="str">
        <x:v>IFR’s 23.2 million consumer/domestic robot sales in 2019 show a large market, not near-universal household presence.</x:v>
      </x:c>
      <x:c r="E81" s="4" t="str">
        <x:v>Useful cleaning robots are established, but near-ubiquity across households and the broad chores range are not demonstrated.</x:v>
      </x:c>
      <x:c r="F81" s="4" t="str">
        <x:v>This forecast actually uses “ubiquitous,” unlike K061’s much weaker emergence claim. The alternative commonplace reading is visible because ordinary usage of ubiquitous can be rhetorical.</x:v>
      </x:c>
      <x:c r="G81" s="4" t="str">
        <x:v>Technology markets and relevant users; no universality unless the forecast expressly requires it.</x:v>
      </x:c>
      <x:c r="H81" s="4" t="str">
        <x:v>MEDIUM</x:v>
      </x:c>
      <x:c r="I81" s="4" t="str">
        <x:v>LOW</x:v>
      </x:c>
      <x:c r="J81" s="4" t="str">
        <x:v>2019</x:v>
      </x:c>
    </x:row>
    <x:row r="82" ht="155" customHeight="1">
      <x:c r="A82" s="4" t="str">
        <x:v>K081</x:v>
      </x:c>
      <x:c r="B82" s="4" t="str">
        <x:v>Transportation accidents become very rare</x:v>
      </x:c>
      <x:c r="C82" s="4" t="str">
        <x:v>Automation reduces transportation accidents to a very low societal burden, not just a modest statistical improvement.</x:v>
      </x:c>
      <x:c r="D82" s="4" t="str">
        <x:v>Transport injury and death remained a major global burden around the target date.</x:v>
      </x:c>
      <x:c r="E82" s="4" t="str">
        <x:v>WHO’s 2021 estimate of 1.19 million annual road deaths, only modestly below 2010, contradicts the very-few-accidents scenario. Individual safer systems do not establish the whole-system outcome.</x:v>
      </x:c>
      <x:c r="F82" s="4" t="str">
        <x:v>Uses road deaths as a conservative indicator of the transport-harm burden, not an exact count of all transport accidents in October 2026.</x:v>
      </x:c>
      <x:c r="G82" s="4" t="str">
        <x:v>Technology markets and relevant users; no universality unless the forecast expressly requires it.</x:v>
      </x:c>
      <x:c r="H82" s="4" t="str">
        <x:v>MEDIUM</x:v>
      </x:c>
      <x:c r="I82" s="4" t="str">
        <x:v>LOW</x:v>
      </x:c>
      <x:c r="J82" s="4" t="str">
        <x:v>2019</x:v>
      </x:c>
    </x:row>
    <x:row r="83" ht="155" customHeight="1">
      <x:c r="A83" s="4" t="str">
        <x:v>K082</x:v>
      </x:c>
      <x:c r="B83" s="4" t="str">
        <x:v>Human-machine creative collaborations gain recognition</x:v>
      </x:c>
      <x:c r="C83" s="4" t="str">
        <x:v>Human-machine artistic collaborations emerge and receive serious cultural/institutional attention.</x:v>
      </x:c>
      <x:c r="D83" s="4" t="str">
        <x:v>Christie’s 2018 sale of a GAN-assisted work created by a human collective establishes serious institutional attention before 2019.</x:v>
      </x:c>
      <x:c r="E83" s="4" t="str">
        <x:v>The modest emergence-and-recognition claim was fulfilled. It did not require most artists or leading artists to be machines.</x:v>
      </x:c>
      <x:c r="F83" s="4" t="str">
        <x:v>Assessment is conditional on the stated criterion and population. Documented examples establish availability, not universal adoption. The original book edition has not been independently collated.</x:v>
      </x:c>
      <x:c r="G83" s="4" t="str">
        <x:v>Technology markets and relevant users; no universality unless the forecast expressly requires it.</x:v>
      </x:c>
      <x:c r="H83" s="4" t="str">
        <x:v>MEDIUM</x:v>
      </x:c>
      <x:c r="I83" s="4" t="str">
        <x:v>MEDIUM</x:v>
      </x:c>
      <x:c r="J83" s="4" t="str">
        <x:v>2019</x:v>
      </x:c>
    </x:row>
    <x:row r="84" ht="155" customHeight="1">
      <x:c r="A84" s="4" t="str">
        <x:v>K083</x:v>
      </x:c>
      <x:c r="B84" s="4" t="str">
        <x:v>Major aging and cancer mechanisms become understood</x:v>
      </x:c>
      <x:c r="C84" s="4" t="str">
        <x:v>Scientists understand many important genetic/cellular processes of aging and cancer; a complete causal model or cure is not required.</x:v>
      </x:c>
      <x:c r="D84" s="4" t="str">
        <x:v>The 2013 hallmarks framework and 2018 Pan-Cancer Atlas demonstrate substantial mechanistic and molecular understanding before 2019.</x:v>
      </x:c>
      <x:c r="E84" s="4" t="str">
        <x:v>Continued refinement, including 12 aging hallmarks in 2023, does not erase those real insights. The source says many processes, not all biology solved.</x:v>
      </x:c>
      <x:c r="F84" s="4" t="str">
        <x:v>Mechanistic knowledge, predictive understanding and treatment effectiveness are separate milestones. This judgment is not medical advice and awards no credit toward the linked lifespan-over-100 forecast.</x:v>
      </x:c>
      <x:c r="G84" s="4" t="str">
        <x:v>Technology markets and relevant users; no universality unless the forecast expressly requires it.</x:v>
      </x:c>
      <x:c r="H84" s="4" t="str">
        <x:v>MEDIUM</x:v>
      </x:c>
      <x:c r="I84" s="4" t="str">
        <x:v>MEDIUM</x:v>
      </x:c>
      <x:c r="J84" s="4" t="str">
        <x:v>2019</x:v>
      </x:c>
    </x:row>
    <x:row r="85" ht="155" customHeight="1">
      <x:c r="A85" s="4" t="str">
        <x:v>K084</x:v>
      </x:c>
      <x:c r="B85" s="4" t="str">
        <x:v>Simulated people mediate nearly all transactions</x:v>
      </x:c>
      <x:c r="C85" s="4" t="str">
        <x:v>The vast majority of transactions involve an AI-like simulated person, often agent-to-agent without direct human involvement.</x:v>
      </x:c>
      <x:c r="D85" s="4" t="str">
        <x:v>Ordinary online checkout and payment automation in 2019 were not predominantly simulated-person interactions.</x:v>
      </x:c>
      <x:c r="E85" s="4" t="str">
        <x:v>Agent payment protocols and commercial conversational-commerce offerings now make the direction concrete. They do not establish the original vast-majority share.</x:v>
      </x:c>
      <x:c r="F85" s="4" t="str">
        <x:v>Protocol membership and product announcements are not market-wide transaction volumes. Electronic processing alone is not a simulated person.</x:v>
      </x:c>
      <x:c r="G85" s="4" t="str">
        <x:v>Technology markets and relevant users; no universality unless the forecast expressly requires it.</x:v>
      </x:c>
      <x:c r="H85" s="4" t="str">
        <x:v>MEDIUM</x:v>
      </x:c>
      <x:c r="I85" s="4" t="str">
        <x:v>LOW</x:v>
      </x:c>
      <x:c r="J85" s="4" t="str">
        <x:v>2019</x:v>
      </x:c>
    </x:row>
  </x:sheetData>
  <x:pageMargins left="0.7" right="0.7" top="0.75" bottom="0.75" header="0.3" footer="0.3"/>
  <x:tableParts count="1">
    <x:tablePart xmlns:r="http://schemas.openxmlformats.org/officeDocument/2006/relationships" r:id="R68d4448c4b634edf"/>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6" hidden="0" customWidth="1"/>
    <x:col min="3" max="3" width="40" hidden="0" customWidth="1"/>
    <x:col min="4" max="4" width="12" hidden="0" customWidth="1"/>
    <x:col min="5" max="5" width="22" hidden="0" customWidth="1"/>
    <x:col min="6" max="6" width="22" hidden="0" customWidth="1"/>
    <x:col min="7" max="7" width="17" hidden="0" customWidth="1"/>
    <x:col min="8" max="8" width="12" hidden="0" customWidth="1"/>
    <x:col min="9" max="9" width="40" hidden="0" customWidth="1"/>
    <x:col min="10" max="10" width="36" hidden="0" customWidth="1"/>
    <x:col min="11" max="11" width="28" hidden="0" customWidth="1"/>
    <x:col min="12" max="12" width="40" hidden="0" customWidth="1"/>
  </x:cols>
  <x:sheetData>
    <x:row r="1" ht="32" customHeight="1">
      <x:c r="A1" s="9" t="str">
        <x:v>ID</x:v>
      </x:c>
      <x:c r="B1" s="9" t="str">
        <x:v>Reading</x:v>
      </x:c>
      <x:c r="C1" s="9" t="str">
        <x:v>Criterion</x:v>
      </x:c>
      <x:c r="D1" s="9" t="str">
        <x:v>Deadline</x:v>
      </x:c>
      <x:c r="E1" s="9" t="str">
        <x:v>At deadline</x:v>
      </x:c>
      <x:c r="F1" s="9" t="str">
        <x:v>By review</x:v>
      </x:c>
      <x:c r="G1" s="9" t="str">
        <x:v>Verdict</x:v>
      </x:c>
      <x:c r="H1" s="9" t="str">
        <x:v>Due eligible</x:v>
      </x:c>
      <x:c r="I1" s="9" t="str">
        <x:v>Reasoning</x:v>
      </x:c>
      <x:c r="J1" s="9" t="str">
        <x:v>Conditions changed</x:v>
      </x:c>
      <x:c r="K1" s="9" t="str">
        <x:v>Interpretation kind</x:v>
      </x:c>
      <x:c r="L1" s="9" t="str">
        <x:v>Evidence URLs</x:v>
      </x:c>
    </x:row>
    <x:row r="2" ht="150" customHeight="1">
      <x:c r="A2" s="4" t="str">
        <x:v>K001</x:v>
      </x:c>
      <x:c r="B2" s="4" t="str">
        <x:v>reference</x:v>
      </x:c>
      <x:c r="C2" s="4" t="str">
        <x:v>A machine wins a standard match against the reigning world chess champion; either cited 1998 or 2000 deadline suffices.</x:v>
      </x:c>
      <x:c r="D2" s="4" t="n">
        <x:v>1998</x:v>
      </x:c>
      <x:c r="E2" s="4" t="str">
        <x:v>FULFILLED</x:v>
      </x:c>
      <x:c r="F2" s="4" t="str">
        <x:v>FULFILLED</x:v>
      </x:c>
      <x:c r="G2" s="4" t="str">
        <x:v>CORRECT</x:v>
      </x:c>
      <x:c r="H2" s="4" t="n">
        <x:v>1</x:v>
      </x:c>
      <x:c r="I2" s="4" t="str">
        <x:v>IBM documents Deep Blue’s 1997 match win, before both candidate deadlines. The outcome remains a full success. Resolving the edition changes only whether it was one or three years early.</x:v>
      </x:c>
      <x:c r="J2" s="4" t="str"/>
      <x:c r="K2" s="4" t="str">
        <x:v>REFERENCE_READING</x:v>
      </x:c>
      <x:c r="L2" s="4" t="str">
        <x:v>https://www.ibm.com/history/deep-blue</x:v>
      </x:c>
    </x:row>
    <x:row r="3" ht="150" customHeight="1">
      <x:c r="A3" s="4" t="str">
        <x:v>K001</x:v>
      </x:c>
      <x:c r="B3" s="4" t="str">
        <x:v>strict</x:v>
      </x:c>
      <x:c r="C3" s="4" t="str">
        <x:v>A machine wins a standard match against the reigning world chess champion; either cited 1998 or 2000 deadline suffices.</x:v>
      </x:c>
      <x:c r="D3" s="4" t="n">
        <x:v>1998</x:v>
      </x:c>
      <x:c r="E3" s="4" t="str">
        <x:v>FULFILLED</x:v>
      </x:c>
      <x:c r="F3" s="4" t="str">
        <x:v>FULFILLED</x:v>
      </x:c>
      <x:c r="G3" s="4" t="str">
        <x:v>CORRECT</x:v>
      </x:c>
      <x:c r="H3" s="4" t="n">
        <x:v>1</x:v>
      </x:c>
      <x:c r="I3" s="4" t="str">
        <x:v>IBM documents Deep Blue’s 1997 match win, before both candidate deadlines. The outcome remains a full success. Resolving the edition changes only whether it was one or three years early.</x:v>
      </x:c>
      <x:c r="J3" s="4" t="str"/>
      <x:c r="K3" s="4" t="str">
        <x:v>REFERENCE_READING</x:v>
      </x:c>
      <x:c r="L3" s="4" t="str">
        <x:v>https://www.ibm.com/history/deep-blue</x:v>
      </x:c>
    </x:row>
    <x:row r="4" ht="150" customHeight="1">
      <x:c r="A4" s="4" t="str">
        <x:v>K001</x:v>
      </x:c>
      <x:c r="B4" s="4" t="str">
        <x:v>broader</x:v>
      </x:c>
      <x:c r="C4" s="4" t="str">
        <x:v>A machine wins a standard match against the reigning world chess champion; either cited 1998 or 2000 deadline suffices.</x:v>
      </x:c>
      <x:c r="D4" s="4" t="n">
        <x:v>1998</x:v>
      </x:c>
      <x:c r="E4" s="4" t="str">
        <x:v>FULFILLED</x:v>
      </x:c>
      <x:c r="F4" s="4" t="str">
        <x:v>FULFILLED</x:v>
      </x:c>
      <x:c r="G4" s="4" t="str">
        <x:v>CORRECT</x:v>
      </x:c>
      <x:c r="H4" s="4" t="n">
        <x:v>1</x:v>
      </x:c>
      <x:c r="I4" s="4" t="str">
        <x:v>IBM documents Deep Blue’s 1997 match win, before both candidate deadlines. The outcome remains a full success. Resolving the edition changes only whether it was one or three years early.</x:v>
      </x:c>
      <x:c r="J4" s="4" t="str"/>
      <x:c r="K4" s="4" t="str">
        <x:v>REFERENCE_READING</x:v>
      </x:c>
      <x:c r="L4" s="4" t="str">
        <x:v>https://www.ibm.com/history/deep-blue</x:v>
      </x:c>
    </x:row>
    <x:row r="5" ht="150" customHeight="1">
      <x:c r="A5" s="4" t="str">
        <x:v>K002</x:v>
      </x:c>
      <x:c r="B5" s="4" t="str">
        <x:v>reference</x:v>
      </x:c>
      <x:c r="C5" s="4" t="str">
        <x:v>Portable computers are substantially lighter and thinner than typical 1999 notebooks; not every computer must shrink.</x:v>
      </x:c>
      <x:c r="D5" s="4" t="n">
        <x:v>2009</x:v>
      </x:c>
      <x:c r="E5" s="4" t="str">
        <x:v>FULFILLED</x:v>
      </x:c>
      <x:c r="F5" s="4" t="str">
        <x:v>FULFILLED</x:v>
      </x:c>
      <x:c r="G5" s="4" t="str">
        <x:v>CORRECT</x:v>
      </x:c>
      <x:c r="H5" s="4" t="n">
        <x:v>1</x:v>
      </x:c>
      <x:c r="I5" s="4" t="str">
        <x:v>The 2008 MacBook Air was three pounds and at most 0.76 inches thick; earlier PowerBooks provide a concrete size/weight comparator. Commercial thin laptops substantiate the direction and magnitude. A single earliest breakthrough year is unnecessary.</x:v>
      </x:c>
      <x:c r="J5" s="4" t="str"/>
      <x:c r="K5" s="4" t="str">
        <x:v>REFERENCE_READING</x:v>
      </x:c>
      <x:c r="L5" s="4" t="str">
        <x:v>https://www.apple.com/newsroom/2000/02/16Apple-Unveils-New-PowerBook-The-Fastest-Portable-Ever/
https://www.apple.com/newsroom/2008/01/15Apple-Introduces-MacBook-Air-The-Worlds-Thinnest-Notebook/
https://www.apple.com/newsroom/2001/01/09Apple-Unveils-One-Inch-Thick-Titanium-PowerBook-G4/</x:v>
      </x:c>
    </x:row>
    <x:row r="6" ht="150" customHeight="1">
      <x:c r="A6" s="4" t="str">
        <x:v>K002</x:v>
      </x:c>
      <x:c r="B6" s="4" t="str">
        <x:v>strict</x:v>
      </x:c>
      <x:c r="C6" s="4" t="str">
        <x:v>Portable computers are substantially lighter and thinner than typical 1999 notebooks; not every computer must shrink.</x:v>
      </x:c>
      <x:c r="D6" s="4" t="n">
        <x:v>2009</x:v>
      </x:c>
      <x:c r="E6" s="4" t="str">
        <x:v>FULFILLED</x:v>
      </x:c>
      <x:c r="F6" s="4" t="str">
        <x:v>FULFILLED</x:v>
      </x:c>
      <x:c r="G6" s="4" t="str">
        <x:v>CORRECT</x:v>
      </x:c>
      <x:c r="H6" s="4" t="n">
        <x:v>1</x:v>
      </x:c>
      <x:c r="I6" s="4" t="str">
        <x:v>The 2008 MacBook Air was three pounds and at most 0.76 inches thick; earlier PowerBooks provide a concrete size/weight comparator. Commercial thin laptops substantiate the direction and magnitude. A single earliest breakthrough year is unnecessary.</x:v>
      </x:c>
      <x:c r="J6" s="4" t="str"/>
      <x:c r="K6" s="4" t="str">
        <x:v>REFERENCE_READING</x:v>
      </x:c>
      <x:c r="L6" s="4" t="str">
        <x:v>https://www.apple.com/newsroom/2000/02/16Apple-Unveils-New-PowerBook-The-Fastest-Portable-Ever/
https://www.apple.com/newsroom/2008/01/15Apple-Introduces-MacBook-Air-The-Worlds-Thinnest-Notebook/
https://www.apple.com/newsroom/2001/01/09Apple-Unveils-One-Inch-Thick-Titanium-PowerBook-G4/</x:v>
      </x:c>
    </x:row>
    <x:row r="7" ht="150" customHeight="1">
      <x:c r="A7" s="4" t="str">
        <x:v>K002</x:v>
      </x:c>
      <x:c r="B7" s="4" t="str">
        <x:v>broader</x:v>
      </x:c>
      <x:c r="C7" s="4" t="str">
        <x:v>Portable computers are substantially lighter and thinner than typical 1999 notebooks; not every computer must shrink.</x:v>
      </x:c>
      <x:c r="D7" s="4" t="n">
        <x:v>2009</x:v>
      </x:c>
      <x:c r="E7" s="4" t="str">
        <x:v>FULFILLED</x:v>
      </x:c>
      <x:c r="F7" s="4" t="str">
        <x:v>FULFILLED</x:v>
      </x:c>
      <x:c r="G7" s="4" t="str">
        <x:v>CORRECT</x:v>
      </x:c>
      <x:c r="H7" s="4" t="n">
        <x:v>1</x:v>
      </x:c>
      <x:c r="I7" s="4" t="str">
        <x:v>The 2008 MacBook Air was three pounds and at most 0.76 inches thick; earlier PowerBooks provide a concrete size/weight comparator. Commercial thin laptops substantiate the direction and magnitude. A single earliest breakthrough year is unnecessary.</x:v>
      </x:c>
      <x:c r="J7" s="4" t="str"/>
      <x:c r="K7" s="4" t="str">
        <x:v>REFERENCE_READING</x:v>
      </x:c>
      <x:c r="L7" s="4" t="str">
        <x:v>https://www.apple.com/newsroom/2000/02/16Apple-Unveils-New-PowerBook-The-Fastest-Portable-Ever/
https://www.apple.com/newsroom/2008/01/15Apple-Introduces-MacBook-Air-The-Worlds-Thinnest-Notebook/
https://www.apple.com/newsroom/2001/01/09Apple-Unveils-One-Inch-Thick-Titanium-PowerBook-G4/</x:v>
      </x:c>
    </x:row>
    <x:row r="8" ht="150" customHeight="1">
      <x:c r="A8" s="4" t="str">
        <x:v>K003</x:v>
      </x:c>
      <x:c r="B8" s="4" t="str">
        <x:v>reference</x:v>
      </x:c>
      <x:c r="C8" s="4" t="str">
        <x:v>Computing in wearable body ornaments is a common product/use category; watches count and every example need not be equally adopted.</x:v>
      </x:c>
      <x:c r="D8" s="4" t="n">
        <x:v>2009</x:v>
      </x:c>
      <x:c r="E8" s="4" t="str">
        <x:v>PARTLY_FULFILLED</x:v>
      </x:c>
      <x:c r="F8" s="4" t="str">
        <x:v>FULFILLED</x:v>
      </x:c>
      <x:c r="G8" s="4" t="str">
        <x:v>LATE</x:v>
      </x:c>
      <x:c r="H8" s="4" t="n">
        <x:v>1</x:v>
      </x:c>
      <x:c r="I8" s="4" t="str">
        <x:v>Wearable and embedded devices existed, but the 2009 common-use threshold was only partly reached. By the June 2019 US survey, 21% regularly wore a smartwatch or fitness tracker. That is common, not universal; it supports a late wearable-form-factor success.</x:v>
      </x:c>
      <x:c r="J8" s="4" t="str"/>
      <x:c r="K8" s="4" t="str">
        <x:v>REFERENCE_READING</x:v>
      </x:c>
      <x:c r="L8" s="4" t="str">
        <x:v>https://www.pewresearch.org/short-reads/2020/01/09/about-one-in-five-americans-use-a-smart-watch-or-fitness-tracker/
https://www.pewresearch.org/internet/2010/10/14/americans-and-their-gadgets/
https://www.apple.com/newsroom/2018/09/redesigned-apple-watch-series-4-revolutionizes-communication-fitness-and-health/</x:v>
      </x:c>
    </x:row>
    <x:row r="9" ht="150" customHeight="1">
      <x:c r="A9" s="4" t="str">
        <x:v>K003</x:v>
      </x:c>
      <x:c r="B9" s="4" t="str">
        <x:v>strict</x:v>
      </x:c>
      <x:c r="C9" s="4" t="str">
        <x:v>Both everyday clothing and a broad range of jewelry commonly embed computers.</x:v>
      </x:c>
      <x:c r="D9" s="4" t="n">
        <x:v>2009</x:v>
      </x:c>
      <x:c r="E9" s="4" t="str">
        <x:v>PARTLY_FULFILLED</x:v>
      </x:c>
      <x:c r="F9" s="4" t="str">
        <x:v>PARTLY_FULFILLED</x:v>
      </x:c>
      <x:c r="G9" s="4" t="str">
        <x:v>PARTIAL</x:v>
      </x:c>
      <x:c r="H9" s="4" t="n">
        <x:v>1</x:v>
      </x:c>
      <x:c r="I9" s="4" t="str">
        <x:v>Smartwatches satisfy part of the list, but broadly computerized clothing and the full jewelry assortment are not comparably established.</x:v>
      </x:c>
      <x:c r="J9" s="4" t="str"/>
      <x:c r="K9" s="4" t="str">
        <x:v>ALTERNATIVE_READING</x:v>
      </x:c>
      <x:c r="L9" s="4" t="str">
        <x:v>https://www.pewresearch.org/short-reads/2020/01/09/about-one-in-five-americans-use-a-smart-watch-or-fitness-tracker/
https://www.pewresearch.org/internet/2010/10/14/americans-and-their-gadgets/
https://www.apple.com/newsroom/2018/09/redesigned-apple-watch-series-4-revolutionizes-communication-fitness-and-health/</x:v>
      </x:c>
    </x:row>
    <x:row r="10" ht="150" customHeight="1">
      <x:c r="A10" s="4" t="str">
        <x:v>K003</x:v>
      </x:c>
      <x:c r="B10" s="4" t="str">
        <x:v>broader</x:v>
      </x:c>
      <x:c r="C10" s="4" t="str">
        <x:v>Computing in wearable body ornaments is a common product/use category; watches count and every example need not be equally adopted.</x:v>
      </x:c>
      <x:c r="D10" s="4" t="n">
        <x:v>2009</x:v>
      </x:c>
      <x:c r="E10" s="4" t="str">
        <x:v>PARTLY_FULFILLED</x:v>
      </x:c>
      <x:c r="F10" s="4" t="str">
        <x:v>FULFILLED</x:v>
      </x:c>
      <x:c r="G10" s="4" t="str">
        <x:v>LATE</x:v>
      </x:c>
      <x:c r="H10" s="4" t="n">
        <x:v>1</x:v>
      </x:c>
      <x:c r="I10" s="4" t="str">
        <x:v>Wearable and embedded devices existed, but the 2009 common-use threshold was only partly reached. By the June 2019 US survey, 21% regularly wore a smartwatch or fitness tracker. That is common, not universal; it supports a late wearable-form-factor success.</x:v>
      </x:c>
      <x:c r="J10" s="4" t="str"/>
      <x:c r="K10" s="4" t="str">
        <x:v>REFERENCE_READING</x:v>
      </x:c>
      <x:c r="L10" s="4" t="str">
        <x:v>https://www.pewresearch.org/short-reads/2020/01/09/about-one-in-five-americans-use-a-smart-watch-or-fitness-tracker/
https://www.pewresearch.org/internet/2010/10/14/americans-and-their-gadgets/
https://www.apple.com/newsroom/2018/09/redesigned-apple-watch-series-4-revolutionizes-communication-fitness-and-health/</x:v>
      </x:c>
    </x:row>
    <x:row r="11" ht="150" customHeight="1">
      <x:c r="A11" s="4" t="str">
        <x:v>K004</x:v>
      </x:c>
      <x:c r="B11" s="4" t="str">
        <x:v>reference</x:v>
      </x:c>
      <x:c r="C11" s="4" t="str">
        <x:v>Typical users have at least twelve separately functional worn/carried computing devices linked in a body network.</x:v>
      </x:c>
      <x:c r="D11" s="4" t="n">
        <x:v>2009</x:v>
      </x:c>
      <x:c r="E11" s="4" t="str">
        <x:v>NOT_FULFILLED</x:v>
      </x:c>
      <x:c r="F11" s="4" t="str">
        <x:v>NOT_FULFILLED</x:v>
      </x:c>
      <x:c r="G11" s="4" t="str">
        <x:v>WRONG</x:v>
      </x:c>
      <x:c r="H11" s="4" t="n">
        <x:v>1</x:v>
      </x:c>
      <x:c r="I11" s="4" t="str">
        <x:v>Contemporary device-ownership surveys show a handful of gadgets, not typical twelve-node body networks. Phones, watches and earbuds create useful small networks, but not typical twelve-device ensembles. This is a medium-confidence prevalence judgment, not a claim that no enthusiast has twelve devices.</x:v>
      </x:c>
      <x:c r="J11" s="4" t="str"/>
      <x:c r="K11" s="4" t="str">
        <x:v>REFERENCE_READING</x:v>
      </x:c>
      <x:c r="L11" s="4" t="str">
        <x:v>https://www.pewresearch.org/internet/2010/10/14/americans-and-their-gadgets/
https://www.pewresearch.org/short-reads/2020/01/09/about-one-in-five-americans-use-a-smart-watch-or-fitness-tracker/</x:v>
      </x:c>
    </x:row>
    <x:row r="12" ht="150" customHeight="1">
      <x:c r="A12" s="4" t="str">
        <x:v>K004</x:v>
      </x:c>
      <x:c r="B12" s="4" t="str">
        <x:v>strict</x:v>
      </x:c>
      <x:c r="C12" s="4" t="str">
        <x:v>Typical users have at least twelve separately functional worn/carried computing devices linked in a body network.</x:v>
      </x:c>
      <x:c r="D12" s="4" t="n">
        <x:v>2009</x:v>
      </x:c>
      <x:c r="E12" s="4" t="str">
        <x:v>NOT_FULFILLED</x:v>
      </x:c>
      <x:c r="F12" s="4" t="str">
        <x:v>NOT_FULFILLED</x:v>
      </x:c>
      <x:c r="G12" s="4" t="str">
        <x:v>WRONG</x:v>
      </x:c>
      <x:c r="H12" s="4" t="n">
        <x:v>1</x:v>
      </x:c>
      <x:c r="I12" s="4" t="str">
        <x:v>Contemporary device-ownership surveys show a handful of gadgets, not typical twelve-node body networks. Phones, watches and earbuds create useful small networks, but not typical twelve-device ensembles. This is a medium-confidence prevalence judgment, not a claim that no enthusiast has twelve devices.</x:v>
      </x:c>
      <x:c r="J12" s="4" t="str"/>
      <x:c r="K12" s="4" t="str">
        <x:v>REFERENCE_READING</x:v>
      </x:c>
      <x:c r="L12" s="4" t="str">
        <x:v>https://www.pewresearch.org/internet/2010/10/14/americans-and-their-gadgets/
https://www.pewresearch.org/short-reads/2020/01/09/about-one-in-five-americans-use-a-smart-watch-or-fitness-tracker/</x:v>
      </x:c>
    </x:row>
    <x:row r="13" ht="150" customHeight="1">
      <x:c r="A13" s="4" t="str">
        <x:v>K004</x:v>
      </x:c>
      <x:c r="B13" s="4" t="str">
        <x:v>broader</x:v>
      </x:c>
      <x:c r="C13" s="4" t="str">
        <x:v>People use several mutually connected personal devices and sensors.</x:v>
      </x:c>
      <x:c r="D13" s="4" t="n">
        <x:v>2009</x:v>
      </x:c>
      <x:c r="E13" s="4" t="str">
        <x:v>PARTLY_FULFILLED</x:v>
      </x:c>
      <x:c r="F13" s="4" t="str">
        <x:v>FULFILLED</x:v>
      </x:c>
      <x:c r="G13" s="4" t="str">
        <x:v>LATE</x:v>
      </x:c>
      <x:c r="H13" s="4" t="n">
        <x:v>1</x:v>
      </x:c>
      <x:c r="I13" s="4" t="str">
        <x:v>Phone/watch/earbud ecosystems realize the body-network direction, but this drops the explicit twelve-device threshold.</x:v>
      </x:c>
      <x:c r="J13" s="4" t="str">
        <x:v>Drops at-least-twelve threshold</x:v>
      </x:c>
      <x:c r="K13" s="4" t="str">
        <x:v>ALTERNATIVE_READING</x:v>
      </x:c>
      <x:c r="L13" s="4" t="str">
        <x:v>https://www.pewresearch.org/internet/2010/10/14/americans-and-their-gadgets/
https://www.pewresearch.org/short-reads/2020/01/09/about-one-in-five-americans-use-a-smart-watch-or-fitness-tracker/</x:v>
      </x:c>
    </x:row>
    <x:row r="14" ht="150" customHeight="1">
      <x:c r="A14" s="4" t="str">
        <x:v>K005</x:v>
      </x:c>
      <x:c r="B14" s="4" t="str">
        <x:v>reference</x:v>
      </x:c>
      <x:c r="C14" s="4" t="str">
        <x:v>The pocket/worn personal computers in the surrounding passage generally use electronic storage rather than rotating media.</x:v>
      </x:c>
      <x:c r="D14" s="4" t="n">
        <x:v>2009</x:v>
      </x:c>
      <x:c r="E14" s="4" t="str">
        <x:v>FULFILLED</x:v>
      </x:c>
      <x:c r="F14" s="4" t="str">
        <x:v>FULFILLED</x:v>
      </x:c>
      <x:c r="G14" s="4" t="str">
        <x:v>CORRECT</x:v>
      </x:c>
      <x:c r="H14" s="4" t="n">
        <x:v>1</x:v>
      </x:c>
      <x:c r="I14" s="4" t="str">
        <x:v>Flash-based phones and small music players fit the devices described in the passage by 2009. This remains a full success for that device class. Buttons, haptic motors and exceptions do not defeat “for the most part.”</x:v>
      </x:c>
      <x:c r="J14" s="4" t="str"/>
      <x:c r="K14" s="4" t="str">
        <x:v>REFERENCE_READING</x:v>
      </x:c>
      <x:c r="L14" s="4" t="str">
        <x:v>https://www.apple.com/newsroom/2009/03/11Apple-Announces-Incredible-New-iPod-shuffle/
https://www.apple.com/newsroom/2008/07/14iPhone-App-Store-Downloads-Top-10-Million-in-First-Weekend/</x:v>
      </x:c>
    </x:row>
    <x:row r="15" ht="150" customHeight="1">
      <x:c r="A15" s="4" t="str">
        <x:v>K005</x:v>
      </x:c>
      <x:c r="B15" s="4" t="str">
        <x:v>strict</x:v>
      </x:c>
      <x:c r="C15" s="4" t="str">
        <x:v>Apply the solid-state/no-moving-parts claim to portable PCs including laptops, not just the pocket/worn context.</x:v>
      </x:c>
      <x:c r="D15" s="4" t="n">
        <x:v>2009</x:v>
      </x:c>
      <x:c r="E15" s="4" t="str">
        <x:v>PARTLY_FULFILLED</x:v>
      </x:c>
      <x:c r="F15" s="4" t="str">
        <x:v>PARTLY_FULFILLED</x:v>
      </x:c>
      <x:c r="G15" s="4" t="str">
        <x:v>PARTIAL</x:v>
      </x:c>
      <x:c r="H15" s="4" t="n">
        <x:v>1</x:v>
      </x:c>
      <x:c r="I15" s="4" t="str">
        <x:v>Hard drives were common in 2009 laptops; current widespread SSDs fulfill storage substitution, but a literal no-moving-parts condition still conflicts with many cooling fans.</x:v>
      </x:c>
      <x:c r="J15" s="4" t="str"/>
      <x:c r="K15" s="4" t="str">
        <x:v>ALTERNATIVE_POPULATION</x:v>
      </x:c>
      <x:c r="L15" s="4" t="str">
        <x:v>https://www.apple.com/newsroom/2009/03/11Apple-Announces-Incredible-New-iPod-shuffle/
https://www.apple.com/newsroom/2008/07/14iPhone-App-Store-Downloads-Top-10-Million-in-First-Weekend/</x:v>
      </x:c>
    </x:row>
    <x:row r="16" ht="150" customHeight="1">
      <x:c r="A16" s="4" t="str">
        <x:v>K005</x:v>
      </x:c>
      <x:c r="B16" s="4" t="str">
        <x:v>broader</x:v>
      </x:c>
      <x:c r="C16" s="4" t="str">
        <x:v>The pocket/worn personal computers in the surrounding passage generally use electronic storage rather than rotating media.</x:v>
      </x:c>
      <x:c r="D16" s="4" t="n">
        <x:v>2009</x:v>
      </x:c>
      <x:c r="E16" s="4" t="str">
        <x:v>FULFILLED</x:v>
      </x:c>
      <x:c r="F16" s="4" t="str">
        <x:v>FULFILLED</x:v>
      </x:c>
      <x:c r="G16" s="4" t="str">
        <x:v>CORRECT</x:v>
      </x:c>
      <x:c r="H16" s="4" t="n">
        <x:v>1</x:v>
      </x:c>
      <x:c r="I16" s="4" t="str">
        <x:v>Flash-based phones and small music players fit the devices described in the passage by 2009. This remains a full success for that device class. Buttons, haptic motors and exceptions do not defeat “for the most part.”</x:v>
      </x:c>
      <x:c r="J16" s="4" t="str"/>
      <x:c r="K16" s="4" t="str">
        <x:v>REFERENCE_READING</x:v>
      </x:c>
      <x:c r="L16" s="4" t="str">
        <x:v>https://www.apple.com/newsroom/2009/03/11Apple-Announces-Incredible-New-iPod-shuffle/
https://www.apple.com/newsroom/2008/07/14iPhone-App-Store-Downloads-Top-10-Million-in-First-Weekend/</x:v>
      </x:c>
    </x:row>
    <x:row r="17" ht="150" customHeight="1">
      <x:c r="A17" s="4" t="str">
        <x:v>K006</x:v>
      </x:c>
      <x:c r="B17" s="4" t="str">
        <x:v>reference</x:v>
      </x:c>
      <x:c r="C17" s="4" t="str">
        <x:v>Across newly sold portable computing devices, including smartphones and tablets, most lack physical keyboards.</x:v>
      </x:c>
      <x:c r="D17" s="4" t="n">
        <x:v>2009</x:v>
      </x:c>
      <x:c r="E17" s="4" t="str">
        <x:v>PARTLY_FULFILLED</x:v>
      </x:c>
      <x:c r="F17" s="4" t="str">
        <x:v>FULFILLED</x:v>
      </x:c>
      <x:c r="G17" s="4" t="str">
        <x:v>LATE</x:v>
      </x:c>
      <x:c r="H17" s="4" t="n">
        <x:v>1</x:v>
      </x:c>
      <x:c r="I17" s="4" t="str">
        <x:v>Touchscreen portables were real by 2009, but widespread keyboard-equipped phones and notebooks make full majority fulfillment unpersuasive then. By the mid-2010s, touch-first smartphones dominated portable computing unit volumes. Gartner’s 2013 smartphone/platform mix supports the transition; the exact crossover is not established.</x:v>
      </x:c>
      <x:c r="J17" s="4" t="str"/>
      <x:c r="K17" s="4" t="str">
        <x:v>REFERENCE_READING</x:v>
      </x:c>
      <x:c r="L17" s="4" t="str">
        <x:v>https://www.apple.com/newsroom/2008/07/14iPhone-App-Store-Downloads-Top-10-Million-in-First-Weekend/
https://www.pewresearch.org/internet/2010/10/14/americans-and-their-gadgets/
https://www.pressebox.com/pressrelease/gartner-uk-ltd/Gartner-Says-Annual-Smartphone-Sales-Surpassed-Sales-of-Feature-Phones-for-the-First-Time-in-2013/boxid/658123</x:v>
      </x:c>
    </x:row>
    <x:row r="18" ht="150" customHeight="1">
      <x:c r="A18" s="4" t="str">
        <x:v>K006</x:v>
      </x:c>
      <x:c r="B18" s="4" t="str">
        <x:v>strict</x:v>
      </x:c>
      <x:c r="C18" s="4" t="str">
        <x:v>Conventional notebook/laptop computers mostly lose their physical keyboards.</x:v>
      </x:c>
      <x:c r="D18" s="4" t="n">
        <x:v>2009</x:v>
      </x:c>
      <x:c r="E18" s="4" t="str">
        <x:v>NOT_FULFILLED</x:v>
      </x:c>
      <x:c r="F18" s="4" t="str">
        <x:v>NOT_FULFILLED</x:v>
      </x:c>
      <x:c r="G18" s="4" t="str">
        <x:v>WRONG</x:v>
      </x:c>
      <x:c r="H18" s="4" t="n">
        <x:v>1</x:v>
      </x:c>
      <x:c r="I18" s="4" t="str">
        <x:v>That narrower population does not fulfill the prediction. It is a population sensitivity, not the only legitimate meaning of portable computer.</x:v>
      </x:c>
      <x:c r="J18" s="4" t="str"/>
      <x:c r="K18" s="4" t="str">
        <x:v>ALTERNATIVE_POPULATION</x:v>
      </x:c>
      <x:c r="L18" s="4" t="str">
        <x:v>https://www.apple.com/newsroom/2008/07/14iPhone-App-Store-Downloads-Top-10-Million-in-First-Weekend/
https://www.pewresearch.org/internet/2010/10/14/americans-and-their-gadgets/
https://www.pressebox.com/pressrelease/gartner-uk-ltd/Gartner-Says-Annual-Smartphone-Sales-Surpassed-Sales-of-Feature-Phones-for-the-First-Time-in-2013/boxid/658123</x:v>
      </x:c>
    </x:row>
    <x:row r="19" ht="150" customHeight="1">
      <x:c r="A19" s="4" t="str">
        <x:v>K006</x:v>
      </x:c>
      <x:c r="B19" s="4" t="str">
        <x:v>broader</x:v>
      </x:c>
      <x:c r="C19" s="4" t="str">
        <x:v>Across newly sold portable computing devices, including smartphones and tablets, most lack physical keyboards.</x:v>
      </x:c>
      <x:c r="D19" s="4" t="n">
        <x:v>2009</x:v>
      </x:c>
      <x:c r="E19" s="4" t="str">
        <x:v>PARTLY_FULFILLED</x:v>
      </x:c>
      <x:c r="F19" s="4" t="str">
        <x:v>FULFILLED</x:v>
      </x:c>
      <x:c r="G19" s="4" t="str">
        <x:v>LATE</x:v>
      </x:c>
      <x:c r="H19" s="4" t="n">
        <x:v>1</x:v>
      </x:c>
      <x:c r="I19" s="4" t="str">
        <x:v>Touchscreen portables were real by 2009, but widespread keyboard-equipped phones and notebooks make full majority fulfillment unpersuasive then. By the mid-2010s, touch-first smartphones dominated portable computing unit volumes. Gartner’s 2013 smartphone/platform mix supports the transition; the exact crossover is not established.</x:v>
      </x:c>
      <x:c r="J19" s="4" t="str"/>
      <x:c r="K19" s="4" t="str">
        <x:v>REFERENCE_READING</x:v>
      </x:c>
      <x:c r="L19" s="4" t="str">
        <x:v>https://www.apple.com/newsroom/2008/07/14iPhone-App-Store-Downloads-Top-10-Million-in-First-Weekend/
https://www.pewresearch.org/internet/2010/10/14/americans-and-their-gadgets/
https://www.pressebox.com/pressrelease/gartner-uk-ltd/Gartner-Says-Annual-Smartphone-Sales-Surpassed-Sales-of-Feature-Phones-for-the-First-Time-in-2013/boxid/658123</x:v>
      </x:c>
    </x:row>
    <x:row r="20" ht="150" customHeight="1">
      <x:c r="A20" s="4" t="str">
        <x:v>K007</x:v>
      </x:c>
      <x:c r="B20" s="4" t="str">
        <x:v>reference</x:v>
      </x:c>
      <x:c r="C20" s="4" t="str">
        <x:v>Most users keep large personal digital collections on servers physically at home or in their offices.</x:v>
      </x:c>
      <x:c r="D20" s="4" t="n">
        <x:v>2009</x:v>
      </x:c>
      <x:c r="E20" s="4" t="str">
        <x:v>PARTLY_FULFILLED</x:v>
      </x:c>
      <x:c r="F20" s="4" t="str">
        <x:v>PARTLY_FULFILLED</x:v>
      </x:c>
      <x:c r="G20" s="4" t="str">
        <x:v>PARTIAL</x:v>
      </x:c>
      <x:c r="H20" s="4" t="n">
        <x:v>1</x:v>
      </x:c>
      <x:c r="I20" s="4" t="str">
        <x:v>Home/network storage and office servers existed, but home servers were not the typical personal-computing model. Large digital collections and server-backed access are ordinary, but cloud hosting displaced much of the predicted home-server architecture.</x:v>
      </x:c>
      <x:c r="J20" s="4" t="str"/>
      <x:c r="K20" s="4" t="str">
        <x:v>REFERENCE_READING</x:v>
      </x:c>
      <x:c r="L20" s="4" t="str">
        <x:v>https://www.pewresearch.org/internet/2010/10/14/americans-and-their-gadgets/
https://www.apple.com/newsroom/2011/10/04Apple-Launches-iPhone-4S-iOS-5-iCloud/
https://www.apple.com/newsroom/2008/06/19iTunes-Store-Tops-Over-Five-Billion-Songs-Sold/</x:v>
      </x:c>
    </x:row>
    <x:row r="21" ht="150" customHeight="1">
      <x:c r="A21" s="4" t="str">
        <x:v>K007</x:v>
      </x:c>
      <x:c r="B21" s="4" t="str">
        <x:v>strict</x:v>
      </x:c>
      <x:c r="C21" s="4" t="str">
        <x:v>Most users keep large personal digital collections on servers physically at home or in their offices.</x:v>
      </x:c>
      <x:c r="D21" s="4" t="n">
        <x:v>2009</x:v>
      </x:c>
      <x:c r="E21" s="4" t="str">
        <x:v>PARTLY_FULFILLED</x:v>
      </x:c>
      <x:c r="F21" s="4" t="str">
        <x:v>PARTLY_FULFILLED</x:v>
      </x:c>
      <x:c r="G21" s="4" t="str">
        <x:v>PARTIAL</x:v>
      </x:c>
      <x:c r="H21" s="4" t="n">
        <x:v>1</x:v>
      </x:c>
      <x:c r="I21" s="4" t="str">
        <x:v>Home/network storage and office servers existed, but home servers were not the typical personal-computing model. Large digital collections and server-backed access are ordinary, but cloud hosting displaced much of the predicted home-server architecture.</x:v>
      </x:c>
      <x:c r="J21" s="4" t="str"/>
      <x:c r="K21" s="4" t="str">
        <x:v>REFERENCE_READING</x:v>
      </x:c>
      <x:c r="L21" s="4" t="str">
        <x:v>https://www.pewresearch.org/internet/2010/10/14/americans-and-their-gadgets/
https://www.apple.com/newsroom/2011/10/04Apple-Launches-iPhone-4S-iOS-5-iCloud/
https://www.apple.com/newsroom/2008/06/19iTunes-Store-Tops-Over-Five-Billion-Songs-Sold/</x:v>
      </x:c>
    </x:row>
    <x:row r="22" ht="150" customHeight="1">
      <x:c r="A22" s="4" t="str">
        <x:v>K007</x:v>
      </x:c>
      <x:c r="B22" s="4" t="str">
        <x:v>broader</x:v>
      </x:c>
      <x:c r="C22" s="4" t="str">
        <x:v>Personal digital collections live on servers accessible across devices, regardless of location.</x:v>
      </x:c>
      <x:c r="D22" s="4" t="n">
        <x:v>2009</x:v>
      </x:c>
      <x:c r="E22" s="4" t="str">
        <x:v>PARTLY_FULFILLED</x:v>
      </x:c>
      <x:c r="F22" s="4" t="str">
        <x:v>FULFILLED</x:v>
      </x:c>
      <x:c r="G22" s="4" t="str">
        <x:v>LATE</x:v>
      </x:c>
      <x:c r="H22" s="4" t="n">
        <x:v>1</x:v>
      </x:c>
      <x:c r="I22" s="4" t="str">
        <x:v>Cloud-backed libraries and synchronization realize the function. This deliberately relaxes the home/office location requirement.</x:v>
      </x:c>
      <x:c r="J22" s="4" t="str">
        <x:v>Server location</x:v>
      </x:c>
      <x:c r="K22" s="4" t="str">
        <x:v>ALTERNATIVE_READING</x:v>
      </x:c>
      <x:c r="L22" s="4" t="str">
        <x:v>https://www.pewresearch.org/internet/2010/10/14/americans-and-their-gadgets/
https://www.apple.com/newsroom/2011/10/04Apple-Launches-iPhone-4S-iOS-5-iCloud/
https://www.apple.com/newsroom/2008/06/19iTunes-Store-Tops-Over-Five-Billion-Songs-Sold/</x:v>
      </x:c>
    </x:row>
    <x:row r="23" ht="150" customHeight="1">
      <x:c r="A23" s="4" t="str">
        <x:v>K008</x:v>
      </x:c>
      <x:c r="B23" s="4" t="str">
        <x:v>reference</x:v>
      </x:c>
      <x:c r="C23" s="4" t="str">
        <x:v>Books, music, video and software can routinely be delivered as downloadable wireless data without a physical carrier.</x:v>
      </x:c>
      <x:c r="D23" s="4" t="n">
        <x:v>2009</x:v>
      </x:c>
      <x:c r="E23" s="4" t="str">
        <x:v>FULFILLED</x:v>
      </x:c>
      <x:c r="F23" s="4" t="str">
        <x:v>FULFILLED</x:v>
      </x:c>
      <x:c r="G23" s="4" t="str">
        <x:v>CORRECT</x:v>
      </x:c>
      <x:c r="H23" s="4" t="n">
        <x:v>1</x:v>
      </x:c>
      <x:c r="I23" s="4" t="str">
        <x:v>Kindle, iTunes and the App Store supplied the listed media/software functions before the deadline. Continued paper-book or disc sales do not refute routine file distribution; the claim does not require every purchase to be digital.</x:v>
      </x:c>
      <x:c r="J23" s="4" t="str"/>
      <x:c r="K23" s="4" t="str">
        <x:v>REFERENCE_READING</x:v>
      </x:c>
      <x:c r="L23" s="4" t="str">
        <x:v>https://press.aboutamazon.com/2007/11/introducing-amazon-kindle
https://www.apple.com/newsroom/2008/06/19iTunes-Store-Tops-Over-Five-Billion-Songs-Sold/
https://www.apple.com/newsroom/2008/07/14iPhone-App-Store-Downloads-Top-10-Million-in-First-Weekend/</x:v>
      </x:c>
    </x:row>
    <x:row r="24" ht="150" customHeight="1">
      <x:c r="A24" s="4" t="str">
        <x:v>K008</x:v>
      </x:c>
      <x:c r="B24" s="4" t="str">
        <x:v>strict</x:v>
      </x:c>
      <x:c r="C24" s="4" t="str">
        <x:v>Books, music, video and software can routinely be delivered as downloadable wireless data without a physical carrier.</x:v>
      </x:c>
      <x:c r="D24" s="4" t="n">
        <x:v>2009</x:v>
      </x:c>
      <x:c r="E24" s="4" t="str">
        <x:v>FULFILLED</x:v>
      </x:c>
      <x:c r="F24" s="4" t="str">
        <x:v>FULFILLED</x:v>
      </x:c>
      <x:c r="G24" s="4" t="str">
        <x:v>CORRECT</x:v>
      </x:c>
      <x:c r="H24" s="4" t="n">
        <x:v>1</x:v>
      </x:c>
      <x:c r="I24" s="4" t="str">
        <x:v>Kindle, iTunes and the App Store supplied the listed media/software functions before the deadline. Continued paper-book or disc sales do not refute routine file distribution; the claim does not require every purchase to be digital.</x:v>
      </x:c>
      <x:c r="J24" s="4" t="str"/>
      <x:c r="K24" s="4" t="str">
        <x:v>REFERENCE_READING</x:v>
      </x:c>
      <x:c r="L24" s="4" t="str">
        <x:v>https://press.aboutamazon.com/2007/11/introducing-amazon-kindle
https://www.apple.com/newsroom/2008/06/19iTunes-Store-Tops-Over-Five-Billion-Songs-Sold/
https://www.apple.com/newsroom/2008/07/14iPhone-App-Store-Downloads-Top-10-Million-in-First-Weekend/</x:v>
      </x:c>
    </x:row>
    <x:row r="25" ht="150" customHeight="1">
      <x:c r="A25" s="4" t="str">
        <x:v>K008</x:v>
      </x:c>
      <x:c r="B25" s="4" t="str">
        <x:v>broader</x:v>
      </x:c>
      <x:c r="C25" s="4" t="str">
        <x:v>Books, music, video and software can routinely be delivered as downloadable wireless data without a physical carrier.</x:v>
      </x:c>
      <x:c r="D25" s="4" t="n">
        <x:v>2009</x:v>
      </x:c>
      <x:c r="E25" s="4" t="str">
        <x:v>FULFILLED</x:v>
      </x:c>
      <x:c r="F25" s="4" t="str">
        <x:v>FULFILLED</x:v>
      </x:c>
      <x:c r="G25" s="4" t="str">
        <x:v>CORRECT</x:v>
      </x:c>
      <x:c r="H25" s="4" t="n">
        <x:v>1</x:v>
      </x:c>
      <x:c r="I25" s="4" t="str">
        <x:v>Kindle, iTunes and the App Store supplied the listed media/software functions before the deadline. Continued paper-book or disc sales do not refute routine file distribution; the claim does not require every purchase to be digital.</x:v>
      </x:c>
      <x:c r="J25" s="4" t="str"/>
      <x:c r="K25" s="4" t="str">
        <x:v>REFERENCE_READING</x:v>
      </x:c>
      <x:c r="L25" s="4" t="str">
        <x:v>https://press.aboutamazon.com/2007/11/introducing-amazon-kindle
https://www.apple.com/newsroom/2008/06/19iTunes-Store-Tops-Over-Five-Billion-Songs-Sold/
https://www.apple.com/newsroom/2008/07/14iPhone-App-Store-Downloads-Top-10-Million-in-First-Weekend/</x:v>
      </x:c>
    </x:row>
    <x:row r="26" ht="150" customHeight="1">
      <x:c r="A26" s="4" t="str">
        <x:v>K009</x:v>
      </x:c>
      <x:c r="B26" s="4" t="str">
        <x:v>reference</x:v>
      </x:c>
      <x:c r="C26" s="4" t="str">
        <x:v>Wireless links substantially displace short peripheral cables in ordinary use; “disappearing” describes a trend, not zero cables.</x:v>
      </x:c>
      <x:c r="D26" s="4" t="n">
        <x:v>2009</x:v>
      </x:c>
      <x:c r="E26" s="4" t="str">
        <x:v>FULFILLED</x:v>
      </x:c>
      <x:c r="F26" s="4" t="str">
        <x:v>FULFILLED</x:v>
      </x:c>
      <x:c r="G26" s="4" t="str">
        <x:v>CORRECT</x:v>
      </x:c>
      <x:c r="H26" s="4" t="n">
        <x:v>1</x:v>
      </x:c>
      <x:c r="I26" s="4" t="str">
        <x:v>Commercial Bluetooth keyboards/mice and ordinary Wi-Fi demonstrate the predicted transition by 2009. The broad direction holds. Charging leads and remaining monitor cables are not evidence that the trend failed.</x:v>
      </x:c>
      <x:c r="J26" s="4" t="str"/>
      <x:c r="K26" s="4" t="str">
        <x:v>REFERENCE_READING</x:v>
      </x:c>
      <x:c r="L26" s="4" t="str">
        <x:v>https://www.apple.com/ca/newsroom/2003/09/16Apple-Introduces-Wireless-Keyboard-Mouse/
https://www.pewresearch.org/internet/2009/07/22/wireless-internet-use/</x:v>
      </x:c>
    </x:row>
    <x:row r="27" ht="150" customHeight="1">
      <x:c r="A27" s="4" t="str">
        <x:v>K009</x:v>
      </x:c>
      <x:c r="B27" s="4" t="str">
        <x:v>strict</x:v>
      </x:c>
      <x:c r="C27" s="4" t="str">
        <x:v>The full listed peripheral set, including most displays, ordinarily communicates wirelessly.</x:v>
      </x:c>
      <x:c r="D27" s="4" t="n">
        <x:v>2009</x:v>
      </x:c>
      <x:c r="E27" s="4" t="str">
        <x:v>PARTLY_FULFILLED</x:v>
      </x:c>
      <x:c r="F27" s="4" t="str">
        <x:v>PARTLY_FULFILLED</x:v>
      </x:c>
      <x:c r="G27" s="4" t="str">
        <x:v>PARTIAL</x:v>
      </x:c>
      <x:c r="H27" s="4" t="n">
        <x:v>1</x:v>
      </x:c>
      <x:c r="I27" s="4" t="str">
        <x:v>Wireless input and networking are established, but wired monitors and other peripherals preserve an important part of the listed ecology.</x:v>
      </x:c>
      <x:c r="J27" s="4" t="str"/>
      <x:c r="K27" s="4" t="str">
        <x:v>ALTERNATIVE_READING</x:v>
      </x:c>
      <x:c r="L27" s="4" t="str">
        <x:v>https://www.apple.com/ca/newsroom/2003/09/16Apple-Introduces-Wireless-Keyboard-Mouse/
https://www.pewresearch.org/internet/2009/07/22/wireless-internet-use/</x:v>
      </x:c>
    </x:row>
    <x:row r="28" ht="150" customHeight="1">
      <x:c r="A28" s="4" t="str">
        <x:v>K009</x:v>
      </x:c>
      <x:c r="B28" s="4" t="str">
        <x:v>broader</x:v>
      </x:c>
      <x:c r="C28" s="4" t="str">
        <x:v>Wireless links substantially displace short peripheral cables in ordinary use; “disappearing” describes a trend, not zero cables.</x:v>
      </x:c>
      <x:c r="D28" s="4" t="n">
        <x:v>2009</x:v>
      </x:c>
      <x:c r="E28" s="4" t="str">
        <x:v>FULFILLED</x:v>
      </x:c>
      <x:c r="F28" s="4" t="str">
        <x:v>FULFILLED</x:v>
      </x:c>
      <x:c r="G28" s="4" t="str">
        <x:v>CORRECT</x:v>
      </x:c>
      <x:c r="H28" s="4" t="n">
        <x:v>1</x:v>
      </x:c>
      <x:c r="I28" s="4" t="str">
        <x:v>Commercial Bluetooth keyboards/mice and ordinary Wi-Fi demonstrate the predicted transition by 2009. The broad direction holds. Charging leads and remaining monitor cables are not evidence that the trend failed.</x:v>
      </x:c>
      <x:c r="J28" s="4" t="str"/>
      <x:c r="K28" s="4" t="str">
        <x:v>REFERENCE_READING</x:v>
      </x:c>
      <x:c r="L28" s="4" t="str">
        <x:v>https://www.apple.com/ca/newsroom/2003/09/16Apple-Introduces-Wireless-Keyboard-Mouse/
https://www.pewresearch.org/internet/2009/07/22/wireless-internet-use/</x:v>
      </x:c>
    </x:row>
    <x:row r="29" ht="150" customHeight="1">
      <x:c r="A29" s="4" t="str">
        <x:v>K010</x:v>
      </x:c>
      <x:c r="B29" s="4" t="str">
        <x:v>reference</x:v>
      </x:c>
      <x:c r="C29" s="4" t="str">
        <x:v>Wireless Internet is a routine built-in capability with useful broadband availability in connected markets.</x:v>
      </x:c>
      <x:c r="D29" s="4" t="n">
        <x:v>2009</x:v>
      </x:c>
      <x:c r="E29" s="4" t="str">
        <x:v>FULFILLED</x:v>
      </x:c>
      <x:c r="F29" s="4" t="str">
        <x:v>FULFILLED</x:v>
      </x:c>
      <x:c r="G29" s="4" t="str">
        <x:v>CORRECT</x:v>
      </x:c>
      <x:c r="H29" s="4" t="n">
        <x:v>1</x:v>
      </x:c>
      <x:c r="I29" s="4" t="str">
        <x:v>Pew found 56% of US adults had used wireless Internet by 2009; shipping devices included Wi-Fi/cellular connectivity. Routine access is established. Universal coverage, perfect uptime and unlimited bandwidth were not imposed as extra requirements.</x:v>
      </x:c>
      <x:c r="J29" s="4" t="str"/>
      <x:c r="K29" s="4" t="str">
        <x:v>REFERENCE_READING</x:v>
      </x:c>
      <x:c r="L29" s="4" t="str">
        <x:v>https://www.pewresearch.org/internet/2009/07/22/wireless-internet-use/
https://www.apple.com/newsroom/2008/07/14iPhone-App-Store-Downloads-Top-10-Million-in-First-Weekend/</x:v>
      </x:c>
    </x:row>
    <x:row r="30" ht="150" customHeight="1">
      <x:c r="A30" s="4" t="str">
        <x:v>K010</x:v>
      </x:c>
      <x:c r="B30" s="4" t="str">
        <x:v>strict</x:v>
      </x:c>
      <x:c r="C30" s="4" t="str">
        <x:v>The network is instantly available with high bandwidth across essentially all ordinary locations.</x:v>
      </x:c>
      <x:c r="D30" s="4" t="n">
        <x:v>2009</x:v>
      </x:c>
      <x:c r="E30" s="4" t="str">
        <x:v>PARTLY_FULFILLED</x:v>
      </x:c>
      <x:c r="F30" s="4" t="str">
        <x:v>PARTLY_FULFILLED</x:v>
      </x:c>
      <x:c r="G30" s="4" t="str">
        <x:v>PARTIAL</x:v>
      </x:c>
      <x:c r="H30" s="4" t="n">
        <x:v>1</x:v>
      </x:c>
      <x:c r="I30" s="4" t="str">
        <x:v>Coverage and reliability qualifications remain. This gives additional weight to the “ever-present” language without treating an isolated outage as failure.</x:v>
      </x:c>
      <x:c r="J30" s="4" t="str"/>
      <x:c r="K30" s="4" t="str">
        <x:v>ALTERNATIVE_READING</x:v>
      </x:c>
      <x:c r="L30" s="4" t="str">
        <x:v>https://www.pewresearch.org/internet/2009/07/22/wireless-internet-use/
https://www.apple.com/newsroom/2008/07/14iPhone-App-Store-Downloads-Top-10-Million-in-First-Weekend/</x:v>
      </x:c>
    </x:row>
    <x:row r="31" ht="150" customHeight="1">
      <x:c r="A31" s="4" t="str">
        <x:v>K010</x:v>
      </x:c>
      <x:c r="B31" s="4" t="str">
        <x:v>broader</x:v>
      </x:c>
      <x:c r="C31" s="4" t="str">
        <x:v>Wireless Internet is a routine built-in capability with useful broadband availability in connected markets.</x:v>
      </x:c>
      <x:c r="D31" s="4" t="n">
        <x:v>2009</x:v>
      </x:c>
      <x:c r="E31" s="4" t="str">
        <x:v>FULFILLED</x:v>
      </x:c>
      <x:c r="F31" s="4" t="str">
        <x:v>FULFILLED</x:v>
      </x:c>
      <x:c r="G31" s="4" t="str">
        <x:v>CORRECT</x:v>
      </x:c>
      <x:c r="H31" s="4" t="n">
        <x:v>1</x:v>
      </x:c>
      <x:c r="I31" s="4" t="str">
        <x:v>Pew found 56% of US adults had used wireless Internet by 2009; shipping devices included Wi-Fi/cellular connectivity. Routine access is established. Universal coverage, perfect uptime and unlimited bandwidth were not imposed as extra requirements.</x:v>
      </x:c>
      <x:c r="J31" s="4" t="str"/>
      <x:c r="K31" s="4" t="str">
        <x:v>REFERENCE_READING</x:v>
      </x:c>
      <x:c r="L31" s="4" t="str">
        <x:v>https://www.pewresearch.org/internet/2009/07/22/wireless-internet-use/
https://www.apple.com/newsroom/2008/07/14iPhone-App-Store-Downloads-Top-10-Million-in-First-Weekend/</x:v>
      </x:c>
    </x:row>
    <x:row r="32" ht="150" customHeight="1">
      <x:c r="A32" s="4" t="str">
        <x:v>K011</x:v>
      </x:c>
      <x:c r="B32" s="4" t="str">
        <x:v>reference</x:v>
      </x:c>
      <x:c r="C32" s="4" t="str">
        <x:v>More than half of generated text comes from continuous-speech dictation.</x:v>
      </x:c>
      <x:c r="D32" s="4" t="n">
        <x:v>2009</x:v>
      </x:c>
      <x:c r="E32" s="4" t="str">
        <x:v>NOT_FULFILLED</x:v>
      </x:c>
      <x:c r="F32" s="4" t="str">
        <x:v>NOT_FULFILLED</x:v>
      </x:c>
      <x:c r="G32" s="4" t="str">
        <x:v>WRONG</x:v>
      </x:c>
      <x:c r="H32" s="4" t="n">
        <x:v>1</x:v>
      </x:c>
      <x:c r="I32" s="4" t="str">
        <x:v>The author’s own retrospective acknowledges that dictation had not become the majority input method in 2009. Dictation is effective and widely available, but typing and non-dictated text remain central. The majority claim is still not supported; this assessment is an inference, not a global text-volume census.</x:v>
      </x:c>
      <x:c r="J32" s="4" t="str"/>
      <x:c r="K32" s="4" t="str">
        <x:v>REFERENCE_READING</x:v>
      </x:c>
      <x:c r="L32" s="4" t="str">
        <x:v>https://www.thekurzweillibrary.com/images/How-My-Predictions-Are-Faring.pdf
https://www.apple.com/newsroom/2011/10/04Apple-Launches-iPhone-4S-iOS-5-iCloud/
https://www.microsoft.com/en-us/microsoft-365/blog/2019/07/11/microsoft-teams-reaches-13-million-daily-active-users-introduces-4-new-ways-for-teams-to-work-better-together/</x:v>
      </x:c>
    </x:row>
    <x:row r="33" ht="150" customHeight="1">
      <x:c r="A33" s="4" t="str">
        <x:v>K011</x:v>
      </x:c>
      <x:c r="B33" s="4" t="str">
        <x:v>strict</x:v>
      </x:c>
      <x:c r="C33" s="4" t="str">
        <x:v>More than half of generated text comes from continuous-speech dictation.</x:v>
      </x:c>
      <x:c r="D33" s="4" t="n">
        <x:v>2009</x:v>
      </x:c>
      <x:c r="E33" s="4" t="str">
        <x:v>NOT_FULFILLED</x:v>
      </x:c>
      <x:c r="F33" s="4" t="str">
        <x:v>NOT_FULFILLED</x:v>
      </x:c>
      <x:c r="G33" s="4" t="str">
        <x:v>WRONG</x:v>
      </x:c>
      <x:c r="H33" s="4" t="n">
        <x:v>1</x:v>
      </x:c>
      <x:c r="I33" s="4" t="str">
        <x:v>The author’s own retrospective acknowledges that dictation had not become the majority input method in 2009. Dictation is effective and widely available, but typing and non-dictated text remain central. The majority claim is still not supported; this assessment is an inference, not a global text-volume census.</x:v>
      </x:c>
      <x:c r="J33" s="4" t="str"/>
      <x:c r="K33" s="4" t="str">
        <x:v>REFERENCE_READING</x:v>
      </x:c>
      <x:c r="L33" s="4" t="str">
        <x:v>https://www.thekurzweillibrary.com/images/How-My-Predictions-Are-Faring.pdf
https://www.apple.com/newsroom/2011/10/04Apple-Launches-iPhone-4S-iOS-5-iCloud/
https://www.microsoft.com/en-us/microsoft-365/blog/2019/07/11/microsoft-teams-reaches-13-million-daily-active-users-introduces-4-new-ways-for-teams-to-work-better-together/</x:v>
      </x:c>
    </x:row>
    <x:row r="34" ht="150" customHeight="1">
      <x:c r="A34" s="4" t="str">
        <x:v>K011</x:v>
      </x:c>
      <x:c r="B34" s="4" t="str">
        <x:v>broader</x:v>
      </x:c>
      <x:c r="C34" s="4" t="str">
        <x:v>Accurate everyday dictation and speech input become ordinary computer features.</x:v>
      </x:c>
      <x:c r="D34" s="4" t="n">
        <x:v>2009</x:v>
      </x:c>
      <x:c r="E34" s="4" t="str">
        <x:v>PARTLY_FULFILLED</x:v>
      </x:c>
      <x:c r="F34" s="4" t="str">
        <x:v>FULFILLED</x:v>
      </x:c>
      <x:c r="G34" s="4" t="str">
        <x:v>LATE</x:v>
      </x:c>
      <x:c r="H34" s="4" t="n">
        <x:v>1</x:v>
      </x:c>
      <x:c r="I34" s="4" t="str">
        <x:v>Speech features and assistants fulfill the capability reading, but capability is not majority use.</x:v>
      </x:c>
      <x:c r="J34" s="4" t="str">
        <x:v>Majority-of-text threshold</x:v>
      </x:c>
      <x:c r="K34" s="4" t="str">
        <x:v>ALTERNATIVE_READING</x:v>
      </x:c>
      <x:c r="L34" s="4" t="str">
        <x:v>https://www.thekurzweillibrary.com/images/How-My-Predictions-Are-Faring.pdf
https://www.apple.com/newsroom/2011/10/04Apple-Launches-iPhone-4S-iOS-5-iCloud/
https://www.microsoft.com/en-us/microsoft-365/blog/2019/07/11/microsoft-teams-reaches-13-million-daily-active-users-introduces-4-new-ways-for-teams-to-work-better-together/</x:v>
      </x:c>
    </x:row>
    <x:row r="35" ht="150" customHeight="1">
      <x:c r="A35" s="4" t="str">
        <x:v>K012</x:v>
      </x:c>
      <x:c r="B35" s="4" t="str">
        <x:v>reference</x:v>
      </x:c>
      <x:c r="C35" s="4" t="str">
        <x:v>Task-oriented natural-language interfaces are broadly routine, including the forecast’s frequent animated-personality presentation.</x:v>
      </x:c>
      <x:c r="D35" s="4" t="n">
        <x:v>2009</x:v>
      </x:c>
      <x:c r="E35" s="4" t="str">
        <x:v>PARTLY_FULFILLED</x:v>
      </x:c>
      <x:c r="F35" s="4" t="str">
        <x:v>PARTLY_FULFILLED</x:v>
      </x:c>
      <x:c r="G35" s="4" t="str">
        <x:v>PARTIAL</x:v>
      </x:c>
      <x:c r="H35" s="4" t="n">
        <x:v>1</x:v>
      </x:c>
      <x:c r="I35" s="4" t="str">
        <x:v>Language interfaces existed, but the retrospective concedes that they were not ubiquitous at the deadline. Siri and later assistants fulfill routine natural-language interaction. The recurring avatar/personality presentation is less fully realized, so the full compound remains partial.</x:v>
      </x:c>
      <x:c r="J35" s="4" t="str"/>
      <x:c r="K35" s="4" t="str">
        <x:v>REFERENCE_READING</x:v>
      </x:c>
      <x:c r="L35" s="4" t="str">
        <x:v>https://www.thekurzweillibrary.com/images/How-My-Predictions-Are-Faring.pdf
https://www.apple.com/newsroom/2011/10/04Apple-Launches-iPhone-4S-iOS-5-iCloud/
https://www.microsoft.com/en-us/microsoft-365/blog/2019/07/11/microsoft-teams-reaches-13-million-daily-active-users-introduces-4-new-ways-for-teams-to-work-better-together/</x:v>
      </x:c>
    </x:row>
    <x:row r="36" ht="150" customHeight="1">
      <x:c r="A36" s="4" t="str">
        <x:v>K012</x:v>
      </x:c>
      <x:c r="B36" s="4" t="str">
        <x:v>strict</x:v>
      </x:c>
      <x:c r="C36" s="4" t="str">
        <x:v>Task-oriented natural-language interfaces are broadly routine, including the forecast’s frequent animated-personality presentation.</x:v>
      </x:c>
      <x:c r="D36" s="4" t="n">
        <x:v>2009</x:v>
      </x:c>
      <x:c r="E36" s="4" t="str">
        <x:v>PARTLY_FULFILLED</x:v>
      </x:c>
      <x:c r="F36" s="4" t="str">
        <x:v>PARTLY_FULFILLED</x:v>
      </x:c>
      <x:c r="G36" s="4" t="str">
        <x:v>PARTIAL</x:v>
      </x:c>
      <x:c r="H36" s="4" t="n">
        <x:v>1</x:v>
      </x:c>
      <x:c r="I36" s="4" t="str">
        <x:v>Language interfaces existed, but the retrospective concedes that they were not ubiquitous at the deadline. Siri and later assistants fulfill routine natural-language interaction. The recurring avatar/personality presentation is less fully realized, so the full compound remains partial.</x:v>
      </x:c>
      <x:c r="J36" s="4" t="str"/>
      <x:c r="K36" s="4" t="str">
        <x:v>REFERENCE_READING</x:v>
      </x:c>
      <x:c r="L36" s="4" t="str">
        <x:v>https://www.thekurzweillibrary.com/images/How-My-Predictions-Are-Faring.pdf
https://www.apple.com/newsroom/2011/10/04Apple-Launches-iPhone-4S-iOS-5-iCloud/
https://www.microsoft.com/en-us/microsoft-365/blog/2019/07/11/microsoft-teams-reaches-13-million-daily-active-users-introduces-4-new-ways-for-teams-to-work-better-together/</x:v>
      </x:c>
    </x:row>
    <x:row r="37" ht="150" customHeight="1">
      <x:c r="A37" s="4" t="str">
        <x:v>K012</x:v>
      </x:c>
      <x:c r="B37" s="4" t="str">
        <x:v>broader</x:v>
      </x:c>
      <x:c r="C37" s="4" t="str">
        <x:v>Routine spoken-language personal assistants, without requiring visible avatars.</x:v>
      </x:c>
      <x:c r="D37" s="4" t="n">
        <x:v>2009</x:v>
      </x:c>
      <x:c r="E37" s="4" t="str">
        <x:v>PARTLY_FULFILLED</x:v>
      </x:c>
      <x:c r="F37" s="4" t="str">
        <x:v>FULFILLED</x:v>
      </x:c>
      <x:c r="G37" s="4" t="str">
        <x:v>LATE</x:v>
      </x:c>
      <x:c r="H37" s="4" t="n">
        <x:v>1</x:v>
      </x:c>
      <x:c r="I37" s="4" t="str">
        <x:v>Commercial smartphone assistants provide the functional result. This omits the frequent avatar requirement.</x:v>
      </x:c>
      <x:c r="J37" s="4" t="str">
        <x:v>Frequent visual avatars</x:v>
      </x:c>
      <x:c r="K37" s="4" t="str">
        <x:v>ALTERNATIVE_READING</x:v>
      </x:c>
      <x:c r="L37" s="4" t="str">
        <x:v>https://www.thekurzweillibrary.com/images/How-My-Predictions-Are-Faring.pdf
https://www.apple.com/newsroom/2011/10/04Apple-Launches-iPhone-4S-iOS-5-iCloud/
https://www.microsoft.com/en-us/microsoft-365/blog/2019/07/11/microsoft-teams-reaches-13-million-daily-active-users-introduces-4-new-ways-for-teams-to-work-better-together/</x:v>
      </x:c>
    </x:row>
    <x:row r="38" ht="150" customHeight="1">
      <x:c r="A38" s="4" t="str">
        <x:v>K013</x:v>
      </x:c>
      <x:c r="B38" s="4" t="str">
        <x:v>reference</x:v>
      </x:c>
      <x:c r="C38" s="4" t="str">
        <x:v>Small book-sized displays provide high contrast, readable resolution, broad viewing angles and no distracting flicker; digital reading is routine.</x:v>
      </x:c>
      <x:c r="D38" s="4" t="n">
        <x:v>2009</x:v>
      </x:c>
      <x:c r="E38" s="4" t="str">
        <x:v>FULFILLED</x:v>
      </x:c>
      <x:c r="F38" s="4" t="str">
        <x:v>FULFILLED</x:v>
      </x:c>
      <x:c r="G38" s="4" t="str">
        <x:v>CORRECT</x:v>
      </x:c>
      <x:c r="H38" s="4" t="n">
        <x:v>1</x:v>
      </x:c>
      <x:c r="I38" s="4" t="str">
        <x:v>Kindle’s 2007 electronic-paper display and wireless book delivery materially meet the listed visual and reading functions. The forecast did not require all books to abandon print or the screen to share every physical property of paper.</x:v>
      </x:c>
      <x:c r="J38" s="4" t="str"/>
      <x:c r="K38" s="4" t="str">
        <x:v>REFERENCE_READING</x:v>
      </x:c>
      <x:c r="L38" s="4" t="str">
        <x:v>https://press.aboutamazon.com/2007/11/introducing-amazon-kindle</x:v>
      </x:c>
    </x:row>
    <x:row r="39" ht="150" customHeight="1">
      <x:c r="A39" s="4" t="str">
        <x:v>K013</x:v>
      </x:c>
      <x:c r="B39" s="4" t="str">
        <x:v>strict</x:v>
      </x:c>
      <x:c r="C39" s="4" t="str">
        <x:v>Small book-sized displays provide high contrast, readable resolution, broad viewing angles and no distracting flicker; digital reading is routine.</x:v>
      </x:c>
      <x:c r="D39" s="4" t="n">
        <x:v>2009</x:v>
      </x:c>
      <x:c r="E39" s="4" t="str">
        <x:v>FULFILLED</x:v>
      </x:c>
      <x:c r="F39" s="4" t="str">
        <x:v>FULFILLED</x:v>
      </x:c>
      <x:c r="G39" s="4" t="str">
        <x:v>CORRECT</x:v>
      </x:c>
      <x:c r="H39" s="4" t="n">
        <x:v>1</x:v>
      </x:c>
      <x:c r="I39" s="4" t="str">
        <x:v>Kindle’s 2007 electronic-paper display and wireless book delivery materially meet the listed visual and reading functions. The forecast did not require all books to abandon print or the screen to share every physical property of paper.</x:v>
      </x:c>
      <x:c r="J39" s="4" t="str"/>
      <x:c r="K39" s="4" t="str">
        <x:v>REFERENCE_READING</x:v>
      </x:c>
      <x:c r="L39" s="4" t="str">
        <x:v>https://press.aboutamazon.com/2007/11/introducing-amazon-kindle</x:v>
      </x:c>
    </x:row>
    <x:row r="40" ht="150" customHeight="1">
      <x:c r="A40" s="4" t="str">
        <x:v>K013</x:v>
      </x:c>
      <x:c r="B40" s="4" t="str">
        <x:v>broader</x:v>
      </x:c>
      <x:c r="C40" s="4" t="str">
        <x:v>Small book-sized displays provide high contrast, readable resolution, broad viewing angles and no distracting flicker; digital reading is routine.</x:v>
      </x:c>
      <x:c r="D40" s="4" t="n">
        <x:v>2009</x:v>
      </x:c>
      <x:c r="E40" s="4" t="str">
        <x:v>FULFILLED</x:v>
      </x:c>
      <x:c r="F40" s="4" t="str">
        <x:v>FULFILLED</x:v>
      </x:c>
      <x:c r="G40" s="4" t="str">
        <x:v>CORRECT</x:v>
      </x:c>
      <x:c r="H40" s="4" t="n">
        <x:v>1</x:v>
      </x:c>
      <x:c r="I40" s="4" t="str">
        <x:v>Kindle’s 2007 electronic-paper display and wireless book delivery materially meet the listed visual and reading functions. The forecast did not require all books to abandon print or the screen to share every physical property of paper.</x:v>
      </x:c>
      <x:c r="J40" s="4" t="str"/>
      <x:c r="K40" s="4" t="str">
        <x:v>REFERENCE_READING</x:v>
      </x:c>
      <x:c r="L40" s="4" t="str">
        <x:v>https://press.aboutamazon.com/2007/11/introducing-amazon-kindle</x:v>
      </x:c>
    </x:row>
    <x:row r="41" ht="150" customHeight="1">
      <x:c r="A41" s="4" t="str">
        <x:v>K014</x:v>
      </x:c>
      <x:c r="B41" s="4" t="str">
        <x:v>reference</x:v>
      </x:c>
      <x:c r="C41" s="4" t="str">
        <x:v>Practical see-through head-worn displays project imagery onto the retina and are used, without a mass-adoption requirement.</x:v>
      </x:c>
      <x:c r="D41" s="4" t="n">
        <x:v>2009</x:v>
      </x:c>
      <x:c r="E41" s="4" t="str">
        <x:v>FULFILLED</x:v>
      </x:c>
      <x:c r="F41" s="4" t="str">
        <x:v>FULFILLED</x:v>
      </x:c>
      <x:c r="G41" s="4" t="str">
        <x:v>CORRECT</x:v>
      </x:c>
      <x:c r="H41" s="4" t="n">
        <x:v>1</x:v>
      </x:c>
      <x:c r="I41" s="4" t="str">
        <x:v>Microvision’s Nomad retinal display was deployed in a dealership in 2004, establishing practical use before 2009. This is a capability/use success, even though the product was specialized rather than popular fashion eyewear.</x:v>
      </x:c>
      <x:c r="J41" s="4" t="str"/>
      <x:c r="K41" s="4" t="str">
        <x:v>REFERENCE_READING</x:v>
      </x:c>
      <x:c r="L41" s="4" t="str">
        <x:v>https://www.theautochannel.com/news/2004/08/10/208323.html</x:v>
      </x:c>
    </x:row>
    <x:row r="42" ht="150" customHeight="1">
      <x:c r="A42" s="4" t="str">
        <x:v>K014</x:v>
      </x:c>
      <x:c r="B42" s="4" t="str">
        <x:v>strict</x:v>
      </x:c>
      <x:c r="C42" s="4" t="str">
        <x:v>The retinal display is built into ordinary eyeglass-form eyewear rather than a headband/industrial head-mounted unit.</x:v>
      </x:c>
      <x:c r="D42" s="4" t="n">
        <x:v>2009</x:v>
      </x:c>
      <x:c r="E42" s="4" t="str">
        <x:v>PARTLY_FULFILLED</x:v>
      </x:c>
      <x:c r="F42" s="4" t="str">
        <x:v>PARTLY_FULFILLED</x:v>
      </x:c>
      <x:c r="G42" s="4" t="str">
        <x:v>PARTIAL</x:v>
      </x:c>
      <x:c r="H42" s="4" t="n">
        <x:v>1</x:v>
      </x:c>
      <x:c r="I42" s="4" t="str">
        <x:v>The located deployment is materially similar optical technology but not the exact eyeglass form. The strict mechanical-form reading remains partial.</x:v>
      </x:c>
      <x:c r="J42" s="4" t="str"/>
      <x:c r="K42" s="4" t="str">
        <x:v>ALTERNATIVE_READING</x:v>
      </x:c>
      <x:c r="L42" s="4" t="str">
        <x:v>https://www.theautochannel.com/news/2004/08/10/208323.html</x:v>
      </x:c>
    </x:row>
    <x:row r="43" ht="150" customHeight="1">
      <x:c r="A43" s="4" t="str">
        <x:v>K014</x:v>
      </x:c>
      <x:c r="B43" s="4" t="str">
        <x:v>broader</x:v>
      </x:c>
      <x:c r="C43" s="4" t="str">
        <x:v>Practical see-through head-worn displays project imagery onto the retina and are used, without a mass-adoption requirement.</x:v>
      </x:c>
      <x:c r="D43" s="4" t="n">
        <x:v>2009</x:v>
      </x:c>
      <x:c r="E43" s="4" t="str">
        <x:v>FULFILLED</x:v>
      </x:c>
      <x:c r="F43" s="4" t="str">
        <x:v>FULFILLED</x:v>
      </x:c>
      <x:c r="G43" s="4" t="str">
        <x:v>CORRECT</x:v>
      </x:c>
      <x:c r="H43" s="4" t="n">
        <x:v>1</x:v>
      </x:c>
      <x:c r="I43" s="4" t="str">
        <x:v>Microvision’s Nomad retinal display was deployed in a dealership in 2004, establishing practical use before 2009. This is a capability/use success, even though the product was specialized rather than popular fashion eyewear.</x:v>
      </x:c>
      <x:c r="J43" s="4" t="str"/>
      <x:c r="K43" s="4" t="str">
        <x:v>REFERENCE_READING</x:v>
      </x:c>
      <x:c r="L43" s="4" t="str">
        <x:v>https://www.theautochannel.com/news/2004/08/10/208323.html</x:v>
      </x:c>
    </x:row>
    <x:row r="44" ht="150" customHeight="1">
      <x:c r="A44" s="4" t="str">
        <x:v>K015</x:v>
      </x:c>
      <x:c r="B44" s="4" t="str">
        <x:v>reference</x:v>
      </x:c>
      <x:c r="C44" s="4" t="str">
        <x:v>Both glasses and contact-lens display forms deliver the predicted retinal imagery.</x:v>
      </x:c>
      <x:c r="D44" s="4" t="n">
        <x:v>2010</x:v>
      </x:c>
      <x:c r="E44" s="4" t="str">
        <x:v>PARTLY_FULFILLED</x:v>
      </x:c>
      <x:c r="F44" s="4" t="str">
        <x:v>PARTLY_FULFILLED</x:v>
      </x:c>
      <x:c r="G44" s="4" t="str">
        <x:v>PARTIAL</x:v>
      </x:c>
      <x:c r="H44" s="4" t="n">
        <x:v>1</x:v>
      </x:c>
      <x:c r="I44" s="4" t="str">
        <x:v>Industrial retinal head-worn displays provided part of the capability by 2010; display contacts did not meet the same practical-use standard. Glasses/headsets remain the substantial realization, while the contact-lens half of the compound is not comparably established.</x:v>
      </x:c>
      <x:c r="J44" s="4" t="str"/>
      <x:c r="K44" s="4" t="str">
        <x:v>REFERENCE_READING</x:v>
      </x:c>
      <x:c r="L44" s="4" t="str">
        <x:v>https://www.theautochannel.com/news/2004/08/10/208323.html
https://www.qualcomm.com/news/releases/2019/05/qualcomm-snapdragon-mobile-vr-platform-powers-oculus-quest</x:v>
      </x:c>
    </x:row>
    <x:row r="45" ht="150" customHeight="1">
      <x:c r="A45" s="4" t="str">
        <x:v>K015</x:v>
      </x:c>
      <x:c r="B45" s="4" t="str">
        <x:v>strict</x:v>
      </x:c>
      <x:c r="C45" s="4" t="str">
        <x:v>Both glasses and contact-lens display forms deliver the predicted retinal imagery.</x:v>
      </x:c>
      <x:c r="D45" s="4" t="n">
        <x:v>2010</x:v>
      </x:c>
      <x:c r="E45" s="4" t="str">
        <x:v>PARTLY_FULFILLED</x:v>
      </x:c>
      <x:c r="F45" s="4" t="str">
        <x:v>PARTLY_FULFILLED</x:v>
      </x:c>
      <x:c r="G45" s="4" t="str">
        <x:v>PARTIAL</x:v>
      </x:c>
      <x:c r="H45" s="4" t="n">
        <x:v>1</x:v>
      </x:c>
      <x:c r="I45" s="4" t="str">
        <x:v>Industrial retinal head-worn displays provided part of the capability by 2010; display contacts did not meet the same practical-use standard. Glasses/headsets remain the substantial realization, while the contact-lens half of the compound is not comparably established.</x:v>
      </x:c>
      <x:c r="J45" s="4" t="str"/>
      <x:c r="K45" s="4" t="str">
        <x:v>REFERENCE_READING</x:v>
      </x:c>
      <x:c r="L45" s="4" t="str">
        <x:v>https://www.theautochannel.com/news/2004/08/10/208323.html
https://www.qualcomm.com/news/releases/2019/05/qualcomm-snapdragon-mobile-vr-platform-powers-oculus-quest</x:v>
      </x:c>
    </x:row>
    <x:row r="46" ht="150" customHeight="1">
      <x:c r="A46" s="4" t="str">
        <x:v>K015</x:v>
      </x:c>
      <x:c r="B46" s="4" t="str">
        <x:v>broader</x:v>
      </x:c>
      <x:c r="C46" s="4" t="str">
        <x:v>Head-worn retinal/near-eye displays; contact lenses are treated as an illustrative alternative.</x:v>
      </x:c>
      <x:c r="D46" s="4" t="n">
        <x:v>2010</x:v>
      </x:c>
      <x:c r="E46" s="4" t="str">
        <x:v>FULFILLED</x:v>
      </x:c>
      <x:c r="F46" s="4" t="str">
        <x:v>FULFILLED</x:v>
      </x:c>
      <x:c r="G46" s="4" t="str">
        <x:v>CORRECT</x:v>
      </x:c>
      <x:c r="H46" s="4" t="n">
        <x:v>1</x:v>
      </x:c>
      <x:c r="I46" s="4" t="str">
        <x:v>Practical head-worn displays existed by 2004; the technology direction was right.</x:v>
      </x:c>
      <x:c r="J46" s="4" t="str">
        <x:v>Contact-lens implementation</x:v>
      </x:c>
      <x:c r="K46" s="4" t="str">
        <x:v>ALTERNATIVE_READING</x:v>
      </x:c>
      <x:c r="L46" s="4" t="str">
        <x:v>https://www.theautochannel.com/news/2004/08/10/208323.html
https://www.qualcomm.com/news/releases/2019/05/qualcomm-snapdragon-mobile-vr-platform-powers-oculus-quest</x:v>
      </x:c>
    </x:row>
    <x:row r="47" ht="150" customHeight="1">
      <x:c r="A47" s="4" t="str">
        <x:v>K016</x:v>
      </x:c>
      <x:c r="B47" s="4" t="str">
        <x:v>reference</x:v>
      </x:c>
      <x:c r="C47" s="4" t="str">
        <x:v>Small personal audio devices create a convincing spatial auditory environment.</x:v>
      </x:c>
      <x:c r="D47" s="4" t="n">
        <x:v>2010</x:v>
      </x:c>
      <x:c r="E47" s="4" t="str">
        <x:v>PARTLY_FULFILLED</x:v>
      </x:c>
      <x:c r="F47" s="4" t="str">
        <x:v>FULFILLED</x:v>
      </x:c>
      <x:c r="G47" s="4" t="str">
        <x:v>LATE</x:v>
      </x:c>
      <x:c r="H47" s="4" t="n">
        <x:v>1</x:v>
      </x:c>
      <x:c r="I47" s="4" t="str">
        <x:v>Audio spatialization and directed-sound hardware existed by 2010, but the tiny ordinary personal implementation was incomplete. Small AirPods with dynamic head-tracked spatial audio are documented by 2021. This meets the perceptual function, not the ultrasonic projection mechanism emphasized in the explanatory discussion.</x:v>
      </x:c>
      <x:c r="J47" s="4" t="str"/>
      <x:c r="K47" s="4" t="str">
        <x:v>REFERENCE_READING</x:v>
      </x:c>
      <x:c r="L47" s="4" t="str">
        <x:v>https://www.thekurzweillibrary.com/images/How-My-Predictions-Are-Faring.pdf
https://www.apple.com/newsroom/2021/10/introducing-the-next-generation-of-airpods/
https://support.apple.com/en-kz/guide/airpods/dev00eb7e0a3/web</x:v>
      </x:c>
    </x:row>
    <x:row r="48" ht="150" customHeight="1">
      <x:c r="A48" s="4" t="str">
        <x:v>K016</x:v>
      </x:c>
      <x:c r="B48" s="4" t="str">
        <x:v>strict</x:v>
      </x:c>
      <x:c r="C48" s="4" t="str">
        <x:v>Tiny ultrasound/interference-based emitters physically project localized audible sound as the explanatory mechanism describes.</x:v>
      </x:c>
      <x:c r="D48" s="4" t="n">
        <x:v>2010</x:v>
      </x:c>
      <x:c r="E48" s="4" t="str">
        <x:v>PARTLY_FULFILLED</x:v>
      </x:c>
      <x:c r="F48" s="4" t="str">
        <x:v>PARTLY_FULFILLED</x:v>
      </x:c>
      <x:c r="G48" s="4" t="str">
        <x:v>PARTIAL</x:v>
      </x:c>
      <x:c r="H48" s="4" t="n">
        <x:v>1</x:v>
      </x:c>
      <x:c r="I48" s="4" t="str">
        <x:v>Spatial earbuds use conventional transducers and signal processing. They do not complete the specified physical projection mechanism.</x:v>
      </x:c>
      <x:c r="J48" s="4" t="str"/>
      <x:c r="K48" s="4" t="str">
        <x:v>ALTERNATIVE_READING</x:v>
      </x:c>
      <x:c r="L48" s="4" t="str">
        <x:v>https://www.thekurzweillibrary.com/images/How-My-Predictions-Are-Faring.pdf
https://www.apple.com/newsroom/2021/10/introducing-the-next-generation-of-airpods/
https://support.apple.com/en-kz/guide/airpods/dev00eb7e0a3/web</x:v>
      </x:c>
    </x:row>
    <x:row r="49" ht="150" customHeight="1">
      <x:c r="A49" s="4" t="str">
        <x:v>K016</x:v>
      </x:c>
      <x:c r="B49" s="4" t="str">
        <x:v>broader</x:v>
      </x:c>
      <x:c r="C49" s="4" t="str">
        <x:v>Small personal audio devices create a convincing spatial auditory environment.</x:v>
      </x:c>
      <x:c r="D49" s="4" t="n">
        <x:v>2010</x:v>
      </x:c>
      <x:c r="E49" s="4" t="str">
        <x:v>PARTLY_FULFILLED</x:v>
      </x:c>
      <x:c r="F49" s="4" t="str">
        <x:v>FULFILLED</x:v>
      </x:c>
      <x:c r="G49" s="4" t="str">
        <x:v>LATE</x:v>
      </x:c>
      <x:c r="H49" s="4" t="n">
        <x:v>1</x:v>
      </x:c>
      <x:c r="I49" s="4" t="str">
        <x:v>Audio spatialization and directed-sound hardware existed by 2010, but the tiny ordinary personal implementation was incomplete. Small AirPods with dynamic head-tracked spatial audio are documented by 2021. This meets the perceptual function, not the ultrasonic projection mechanism emphasized in the explanatory discussion.</x:v>
      </x:c>
      <x:c r="J49" s="4" t="str"/>
      <x:c r="K49" s="4" t="str">
        <x:v>REFERENCE_READING</x:v>
      </x:c>
      <x:c r="L49" s="4" t="str">
        <x:v>https://www.thekurzweillibrary.com/images/How-My-Predictions-Are-Faring.pdf
https://www.apple.com/newsroom/2021/10/introducing-the-next-generation-of-airpods/
https://support.apple.com/en-kz/guide/airpods/dev00eb7e0a3/web</x:v>
      </x:c>
    </x:row>
    <x:row r="50" ht="150" customHeight="1">
      <x:c r="A50" s="4" t="str">
        <x:v>K017</x:v>
      </x:c>
      <x:c r="B50" s="4" t="str">
        <x:v>reference</x:v>
      </x:c>
      <x:c r="C50" s="4" t="str">
        <x:v>Consumers can use immersive high-resolution visual-plus-audio VR on demand, without requiring a specialist installation.</x:v>
      </x:c>
      <x:c r="D50" s="4" t="n">
        <x:v>2010</x:v>
      </x:c>
      <x:c r="E50" s="4" t="str">
        <x:v>PARTLY_FULFILLED</x:v>
      </x:c>
      <x:c r="F50" s="4" t="str">
        <x:v>FULFILLED</x:v>
      </x:c>
      <x:c r="G50" s="4" t="str">
        <x:v>LATE</x:v>
      </x:c>
      <x:c r="H50" s="4" t="n">
        <x:v>1</x:v>
      </x:c>
      <x:c r="I50" s="4" t="str">
        <x:v>Earlier VR systems existed, but ordinary portable on-demand immersive access was limited in 2010. The standalone Quest shipped in 2019 with tracked immersive visual/audio use. “Immersive” is not silently strengthened to indistinguishable reality or all senses.</x:v>
      </x:c>
      <x:c r="J50" s="4" t="str"/>
      <x:c r="K50" s="4" t="str">
        <x:v>REFERENCE_READING</x:v>
      </x:c>
      <x:c r="L50" s="4" t="str">
        <x:v>https://www.qualcomm.com/news/releases/2019/05/qualcomm-snapdragon-mobile-vr-platform-powers-oculus-quest</x:v>
      </x:c>
    </x:row>
    <x:row r="51" ht="150" customHeight="1">
      <x:c r="A51" s="4" t="str">
        <x:v>K017</x:v>
      </x:c>
      <x:c r="B51" s="4" t="str">
        <x:v>strict</x:v>
      </x:c>
      <x:c r="C51" s="4" t="str">
        <x:v>The full experience is delivered through the forecast’s tiny glasses/contact display system at arbitrary times.</x:v>
      </x:c>
      <x:c r="D51" s="4" t="n">
        <x:v>2010</x:v>
      </x:c>
      <x:c r="E51" s="4" t="str">
        <x:v>PARTLY_FULFILLED</x:v>
      </x:c>
      <x:c r="F51" s="4" t="str">
        <x:v>PARTLY_FULFILLED</x:v>
      </x:c>
      <x:c r="G51" s="4" t="str">
        <x:v>PARTIAL</x:v>
      </x:c>
      <x:c r="H51" s="4" t="n">
        <x:v>1</x:v>
      </x:c>
      <x:c r="I51" s="4" t="str">
        <x:v>Standalone headsets fulfill the audiovisual experience but not the precise unobtrusive optical package.</x:v>
      </x:c>
      <x:c r="J51" s="4" t="str"/>
      <x:c r="K51" s="4" t="str">
        <x:v>ALTERNATIVE_READING</x:v>
      </x:c>
      <x:c r="L51" s="4" t="str">
        <x:v>https://www.qualcomm.com/news/releases/2019/05/qualcomm-snapdragon-mobile-vr-platform-powers-oculus-quest</x:v>
      </x:c>
    </x:row>
    <x:row r="52" ht="150" customHeight="1">
      <x:c r="A52" s="4" t="str">
        <x:v>K017</x:v>
      </x:c>
      <x:c r="B52" s="4" t="str">
        <x:v>broader</x:v>
      </x:c>
      <x:c r="C52" s="4" t="str">
        <x:v>Consumers can use immersive high-resolution visual-plus-audio VR on demand, without requiring a specialist installation.</x:v>
      </x:c>
      <x:c r="D52" s="4" t="n">
        <x:v>2010</x:v>
      </x:c>
      <x:c r="E52" s="4" t="str">
        <x:v>PARTLY_FULFILLED</x:v>
      </x:c>
      <x:c r="F52" s="4" t="str">
        <x:v>FULFILLED</x:v>
      </x:c>
      <x:c r="G52" s="4" t="str">
        <x:v>LATE</x:v>
      </x:c>
      <x:c r="H52" s="4" t="n">
        <x:v>1</x:v>
      </x:c>
      <x:c r="I52" s="4" t="str">
        <x:v>Earlier VR systems existed, but ordinary portable on-demand immersive access was limited in 2010. The standalone Quest shipped in 2019 with tracked immersive visual/audio use. “Immersive” is not silently strengthened to indistinguishable reality or all senses.</x:v>
      </x:c>
      <x:c r="J52" s="4" t="str"/>
      <x:c r="K52" s="4" t="str">
        <x:v>REFERENCE_READING</x:v>
      </x:c>
      <x:c r="L52" s="4" t="str">
        <x:v>https://www.qualcomm.com/news/releases/2019/05/qualcomm-snapdragon-mobile-vr-platform-powers-oculus-quest</x:v>
      </x:c>
    </x:row>
    <x:row r="53" ht="150" customHeight="1">
      <x:c r="A53" s="4" t="str">
        <x:v>K018</x:v>
      </x:c>
      <x:c r="B53" s="4" t="str">
        <x:v>reference</x:v>
      </x:c>
      <x:c r="C53" s="4" t="str">
        <x:v>Digital instructions or information overlay the user’s view of the physical world.</x:v>
      </x:c>
      <x:c r="D53" s="4" t="n">
        <x:v>2010</x:v>
      </x:c>
      <x:c r="E53" s="4" t="str">
        <x:v>FULFILLED</x:v>
      </x:c>
      <x:c r="F53" s="4" t="str">
        <x:v>FULFILLED</x:v>
      </x:c>
      <x:c r="G53" s="4" t="str">
        <x:v>CORRECT</x:v>
      </x:c>
      <x:c r="H53" s="4" t="n">
        <x:v>1</x:v>
      </x:c>
      <x:c r="I53" s="4" t="str">
        <x:v>Nomad’s deployed see-through repair guidance already provided the functional overlay before 2010. The availability claim is met; we do not require everyone to wear AR glasses.</x:v>
      </x:c>
      <x:c r="J53" s="4" t="str"/>
      <x:c r="K53" s="4" t="str">
        <x:v>REFERENCE_READING</x:v>
      </x:c>
      <x:c r="L53" s="4" t="str">
        <x:v>https://www.theautochannel.com/news/2004/08/10/208323.html</x:v>
      </x:c>
    </x:row>
    <x:row r="54" ht="150" customHeight="1">
      <x:c r="A54" s="4" t="str">
        <x:v>K018</x:v>
      </x:c>
      <x:c r="B54" s="4" t="str">
        <x:v>strict</x:v>
      </x:c>
      <x:c r="C54" s="4" t="str">
        <x:v>Digital instructions or information overlay the user’s view of the physical world.</x:v>
      </x:c>
      <x:c r="D54" s="4" t="n">
        <x:v>2010</x:v>
      </x:c>
      <x:c r="E54" s="4" t="str">
        <x:v>FULFILLED</x:v>
      </x:c>
      <x:c r="F54" s="4" t="str">
        <x:v>FULFILLED</x:v>
      </x:c>
      <x:c r="G54" s="4" t="str">
        <x:v>CORRECT</x:v>
      </x:c>
      <x:c r="H54" s="4" t="n">
        <x:v>1</x:v>
      </x:c>
      <x:c r="I54" s="4" t="str">
        <x:v>Nomad’s deployed see-through repair guidance already provided the functional overlay before 2010. The availability claim is met; we do not require everyone to wear AR glasses.</x:v>
      </x:c>
      <x:c r="J54" s="4" t="str"/>
      <x:c r="K54" s="4" t="str">
        <x:v>REFERENCE_READING</x:v>
      </x:c>
      <x:c r="L54" s="4" t="str">
        <x:v>https://www.theautochannel.com/news/2004/08/10/208323.html</x:v>
      </x:c>
    </x:row>
    <x:row r="55" ht="150" customHeight="1">
      <x:c r="A55" s="4" t="str">
        <x:v>K018</x:v>
      </x:c>
      <x:c r="B55" s="4" t="str">
        <x:v>broader</x:v>
      </x:c>
      <x:c r="C55" s="4" t="str">
        <x:v>Digital instructions or information overlay the user’s view of the physical world.</x:v>
      </x:c>
      <x:c r="D55" s="4" t="n">
        <x:v>2010</x:v>
      </x:c>
      <x:c r="E55" s="4" t="str">
        <x:v>FULFILLED</x:v>
      </x:c>
      <x:c r="F55" s="4" t="str">
        <x:v>FULFILLED</x:v>
      </x:c>
      <x:c r="G55" s="4" t="str">
        <x:v>CORRECT</x:v>
      </x:c>
      <x:c r="H55" s="4" t="n">
        <x:v>1</x:v>
      </x:c>
      <x:c r="I55" s="4" t="str">
        <x:v>Nomad’s deployed see-through repair guidance already provided the functional overlay before 2010. The availability claim is met; we do not require everyone to wear AR glasses.</x:v>
      </x:c>
      <x:c r="J55" s="4" t="str"/>
      <x:c r="K55" s="4" t="str">
        <x:v>REFERENCE_READING</x:v>
      </x:c>
      <x:c r="L55" s="4" t="str">
        <x:v>https://www.theautochannel.com/news/2004/08/10/208323.html</x:v>
      </x:c>
    </x:row>
    <x:row r="56" ht="150" customHeight="1">
      <x:c r="A56" s="4" t="str">
        <x:v>K019</x:v>
      </x:c>
      <x:c r="B56" s="4" t="str">
        <x:v>reference</x:v>
      </x:c>
      <x:c r="C56" s="4" t="str">
        <x:v>Warfare generally places human participants far from the physical fighting, not merely some pilots.</x:v>
      </x:c>
      <x:c r="D56" s="4" t="n">
        <x:v>2009</x:v>
      </x:c>
      <x:c r="E56" s="4" t="str">
        <x:v>NOT_FULFILLED</x:v>
      </x:c>
      <x:c r="F56" s="4" t="str">
        <x:v>NOT_FULFILLED</x:v>
      </x:c>
      <x:c r="G56" s="4" t="str">
        <x:v>WRONG</x:v>
      </x:c>
      <x:c r="H56" s="4" t="n">
        <x:v>1</x:v>
      </x:c>
      <x:c r="I56" s="4" t="str">
        <x:v>Large troop deployments and ground combat in 2009 contradict the general-removal claim. Ongoing front-line fighting and 2025 casualties in Ukraine contradict general removal today. Drones reduce some exposure without removing humans from war.</x:v>
      </x:c>
      <x:c r="J56" s="4" t="str"/>
      <x:c r="K56" s="4" t="str">
        <x:v>REFERENCE_READING</x:v>
      </x:c>
      <x:c r="L56" s="4" t="str">
        <x:v>https://obamawhitehouse.archives.gov/the-press-office/excerpts-presidents-address-nation
https://ukraine.ohchr.org/en/2025-deadliest-year-for-civilians-in-Ukraine-since-2022-UN-human-rights-monitors-find</x:v>
      </x:c>
    </x:row>
    <x:row r="57" ht="150" customHeight="1">
      <x:c r="A57" s="4" t="str">
        <x:v>K019</x:v>
      </x:c>
      <x:c r="B57" s="4" t="str">
        <x:v>strict</x:v>
      </x:c>
      <x:c r="C57" s="4" t="str">
        <x:v>Warfare generally places human participants far from the physical fighting, not merely some pilots.</x:v>
      </x:c>
      <x:c r="D57" s="4" t="n">
        <x:v>2009</x:v>
      </x:c>
      <x:c r="E57" s="4" t="str">
        <x:v>NOT_FULFILLED</x:v>
      </x:c>
      <x:c r="F57" s="4" t="str">
        <x:v>NOT_FULFILLED</x:v>
      </x:c>
      <x:c r="G57" s="4" t="str">
        <x:v>WRONG</x:v>
      </x:c>
      <x:c r="H57" s="4" t="n">
        <x:v>1</x:v>
      </x:c>
      <x:c r="I57" s="4" t="str">
        <x:v>Large troop deployments and ground combat in 2009 contradict the general-removal claim. Ongoing front-line fighting and 2025 casualties in Ukraine contradict general removal today. Drones reduce some exposure without removing humans from war.</x:v>
      </x:c>
      <x:c r="J57" s="4" t="str"/>
      <x:c r="K57" s="4" t="str">
        <x:v>REFERENCE_READING</x:v>
      </x:c>
      <x:c r="L57" s="4" t="str">
        <x:v>https://obamawhitehouse.archives.gov/the-press-office/excerpts-presidents-address-nation
https://ukraine.ohchr.org/en/2025-deadliest-year-for-civilians-in-Ukraine-since-2022-UN-human-rights-monitors-find</x:v>
      </x:c>
    </x:row>
    <x:row r="58" ht="150" customHeight="1">
      <x:c r="A58" s="4" t="str">
        <x:v>K019</x:v>
      </x:c>
      <x:c r="B58" s="4" t="str">
        <x:v>broader</x:v>
      </x:c>
      <x:c r="C58" s="4" t="str">
        <x:v>Remote systems allow a significant subset of combat missions to be conducted away from immediate danger.</x:v>
      </x:c>
      <x:c r="D58" s="4" t="n">
        <x:v>2009</x:v>
      </x:c>
      <x:c r="E58" s="4" t="str">
        <x:v>PARTLY_FULFILLED</x:v>
      </x:c>
      <x:c r="F58" s="4" t="str">
        <x:v>FULFILLED</x:v>
      </x:c>
      <x:c r="G58" s="4" t="str">
        <x:v>LATE</x:v>
      </x:c>
      <x:c r="H58" s="4" t="n">
        <x:v>1</x:v>
      </x:c>
      <x:c r="I58" s="4" t="str">
        <x:v>Remote aviation and strike operations realize the narrower direction, not general human absence.</x:v>
      </x:c>
      <x:c r="J58" s="4" t="str">
        <x:v>General scope of human removal</x:v>
      </x:c>
      <x:c r="K58" s="4" t="str">
        <x:v>ALTERNATIVE_READING</x:v>
      </x:c>
      <x:c r="L58" s="4" t="str">
        <x:v>https://obamawhitehouse.archives.gov/the-press-office/excerpts-presidents-address-nation
https://ukraine.ohchr.org/en/2025-deadliest-year-for-civilians-in-Ukraine-since-2022-UN-human-rights-monitors-find</x:v>
      </x:c>
    </x:row>
    <x:row r="59" ht="150" customHeight="1">
      <x:c r="A59" s="4" t="str">
        <x:v>K020</x:v>
      </x:c>
      <x:c r="B59" s="4" t="str">
        <x:v>reference</x:v>
      </x:c>
      <x:c r="C59" s="4" t="str">
        <x:v>Unmanned intelligent aircraft are the dominant mode of warfare rather than an important additional weapon.</x:v>
      </x:c>
      <x:c r="D59" s="4" t="n">
        <x:v>2009</x:v>
      </x:c>
      <x:c r="E59" s="4" t="str">
        <x:v>NOT_FULFILLED</x:v>
      </x:c>
      <x:c r="F59" s="4" t="str">
        <x:v>PARTLY_FULFILLED</x:v>
      </x:c>
      <x:c r="G59" s="4" t="str">
        <x:v>PARTIAL</x:v>
      </x:c>
      <x:c r="H59" s="4" t="n">
        <x:v>1</x:v>
      </x:c>
      <x:c r="I59" s="4" t="str">
        <x:v>Drones were important in 2009, but conventional ground and air warfare were not displaced. They are now central in particular theaters, especially Ukraine. The worldwide, cross-domain dominance claim remains only partly fulfilled.</x:v>
      </x:c>
      <x:c r="J59" s="4" t="str"/>
      <x:c r="K59" s="4" t="str">
        <x:v>REFERENCE_READING</x:v>
      </x:c>
      <x:c r="L59" s="4" t="str">
        <x:v>https://obamawhitehouse.archives.gov/the-press-office/excerpts-presidents-address-nation
https://ukraine.ohchr.org/en/2025-deadliest-year-for-civilians-in-Ukraine-since-2022-UN-human-rights-monitors-find</x:v>
      </x:c>
    </x:row>
    <x:row r="60" ht="150" customHeight="1">
      <x:c r="A60" s="4" t="str">
        <x:v>K020</x:v>
      </x:c>
      <x:c r="B60" s="4" t="str">
        <x:v>strict</x:v>
      </x:c>
      <x:c r="C60" s="4" t="str">
        <x:v>Unmanned intelligent aircraft are the dominant mode of warfare rather than an important additional weapon.</x:v>
      </x:c>
      <x:c r="D60" s="4" t="n">
        <x:v>2009</x:v>
      </x:c>
      <x:c r="E60" s="4" t="str">
        <x:v>NOT_FULFILLED</x:v>
      </x:c>
      <x:c r="F60" s="4" t="str">
        <x:v>PARTLY_FULFILLED</x:v>
      </x:c>
      <x:c r="G60" s="4" t="str">
        <x:v>PARTIAL</x:v>
      </x:c>
      <x:c r="H60" s="4" t="n">
        <x:v>1</x:v>
      </x:c>
      <x:c r="I60" s="4" t="str">
        <x:v>Drones were important in 2009, but conventional ground and air warfare were not displaced. They are now central in particular theaters, especially Ukraine. The worldwide, cross-domain dominance claim remains only partly fulfilled.</x:v>
      </x:c>
      <x:c r="J60" s="4" t="str"/>
      <x:c r="K60" s="4" t="str">
        <x:v>REFERENCE_READING</x:v>
      </x:c>
      <x:c r="L60" s="4" t="str">
        <x:v>https://obamawhitehouse.archives.gov/the-press-office/excerpts-presidents-address-nation
https://ukraine.ohchr.org/en/2025-deadliest-year-for-civilians-in-Ukraine-since-2022-UN-human-rights-monitors-find</x:v>
      </x:c>
    </x:row>
    <x:row r="61" ht="150" customHeight="1">
      <x:c r="A61" s="4" t="str">
        <x:v>K020</x:v>
      </x:c>
      <x:c r="B61" s="4" t="str">
        <x:v>broader</x:v>
      </x:c>
      <x:c r="C61" s="4" t="str">
        <x:v>Drones become a major or leading operational weapon in important conflicts.</x:v>
      </x:c>
      <x:c r="D61" s="4" t="n">
        <x:v>2009</x:v>
      </x:c>
      <x:c r="E61" s="4" t="str">
        <x:v>PARTLY_FULFILLED</x:v>
      </x:c>
      <x:c r="F61" s="4" t="str">
        <x:v>FULFILLED</x:v>
      </x:c>
      <x:c r="G61" s="4" t="str">
        <x:v>LATE</x:v>
      </x:c>
      <x:c r="H61" s="4" t="n">
        <x:v>1</x:v>
      </x:c>
      <x:c r="I61" s="4" t="str">
        <x:v>This is well established in modern combat, but it relaxes worldwide warfare dominance.</x:v>
      </x:c>
      <x:c r="J61" s="4" t="str">
        <x:v>Dominance across warfare rather than selected theaters</x:v>
      </x:c>
      <x:c r="K61" s="4" t="str">
        <x:v>ALTERNATIVE_READING</x:v>
      </x:c>
      <x:c r="L61" s="4" t="str">
        <x:v>https://obamawhitehouse.archives.gov/the-press-office/excerpts-presidents-address-nation
https://ukraine.ohchr.org/en/2025-deadliest-year-for-civilians-in-Ukraine-since-2022-UN-human-rights-monitors-find</x:v>
      </x:c>
    </x:row>
    <x:row r="62" ht="150" customHeight="1">
      <x:c r="A62" s="4" t="str">
        <x:v>K021</x:v>
      </x:c>
      <x:c r="B62" s="4" t="str">
        <x:v>reference</x:v>
      </x:c>
      <x:c r="C62" s="4" t="str">
        <x:v>Solar energy actually supplies global energy demand, not merely enough theoretical sunshine or nameplate power.</x:v>
      </x:c>
      <x:c r="D62" s="4" t="n">
        <x:v>2028</x:v>
      </x:c>
      <x:c r="E62" s="4" t="str">
        <x:v>NOT_DUE</x:v>
      </x:c>
      <x:c r="F62" s="4" t="str">
        <x:v>PARTLY_FULFILLED</x:v>
      </x:c>
      <x:c r="G62" s="4" t="str">
        <x:v>PENDING</x:v>
      </x:c>
      <x:c r="H62" s="4" t="n">
        <x:v>0</x:v>
      </x:c>
      <x:c r="I62" s="4" t="str">
        <x:v>The 2028 deadline remains in the future. IEA reports solar supplied over 8% of global electricity in 2025—substantial growth, but electricity is only part of energy and far from all energy.</x:v>
      </x:c>
      <x:c r="J62" s="4" t="str"/>
      <x:c r="K62" s="4" t="str">
        <x:v>REFERENCE_READING</x:v>
      </x:c>
      <x:c r="L62" s="4" t="str">
        <x:v>https://www.iea.org/reports/global-energy-review-2026/global-trends</x:v>
      </x:c>
    </x:row>
    <x:row r="63" ht="150" customHeight="1">
      <x:c r="A63" s="4" t="str">
        <x:v>K021</x:v>
      </x:c>
      <x:c r="B63" s="4" t="str">
        <x:v>strict</x:v>
      </x:c>
      <x:c r="C63" s="4" t="str">
        <x:v>Solar energy actually supplies global energy demand, not merely enough theoretical sunshine or nameplate power.</x:v>
      </x:c>
      <x:c r="D63" s="4" t="n">
        <x:v>2028</x:v>
      </x:c>
      <x:c r="E63" s="4" t="str">
        <x:v>NOT_DUE</x:v>
      </x:c>
      <x:c r="F63" s="4" t="str">
        <x:v>PARTLY_FULFILLED</x:v>
      </x:c>
      <x:c r="G63" s="4" t="str">
        <x:v>PENDING</x:v>
      </x:c>
      <x:c r="H63" s="4" t="n">
        <x:v>0</x:v>
      </x:c>
      <x:c r="I63" s="4" t="str">
        <x:v>The 2028 deadline remains in the future. IEA reports solar supplied over 8% of global electricity in 2025—substantial growth, but electricity is only part of energy and far from all energy.</x:v>
      </x:c>
      <x:c r="J63" s="4" t="str"/>
      <x:c r="K63" s="4" t="str">
        <x:v>REFERENCE_READING</x:v>
      </x:c>
      <x:c r="L63" s="4" t="str">
        <x:v>https://www.iea.org/reports/global-energy-review-2026/global-trends</x:v>
      </x:c>
    </x:row>
    <x:row r="64" ht="150" customHeight="1">
      <x:c r="A64" s="4" t="str">
        <x:v>K021</x:v>
      </x:c>
      <x:c r="B64" s="4" t="str">
        <x:v>broader</x:v>
      </x:c>
      <x:c r="C64" s="4" t="str">
        <x:v>Solar energy actually supplies global energy demand, not merely enough theoretical sunshine or nameplate power.</x:v>
      </x:c>
      <x:c r="D64" s="4" t="n">
        <x:v>2028</x:v>
      </x:c>
      <x:c r="E64" s="4" t="str">
        <x:v>NOT_DUE</x:v>
      </x:c>
      <x:c r="F64" s="4" t="str">
        <x:v>PARTLY_FULFILLED</x:v>
      </x:c>
      <x:c r="G64" s="4" t="str">
        <x:v>PENDING</x:v>
      </x:c>
      <x:c r="H64" s="4" t="n">
        <x:v>0</x:v>
      </x:c>
      <x:c r="I64" s="4" t="str">
        <x:v>The 2028 deadline remains in the future. IEA reports solar supplied over 8% of global electricity in 2025—substantial growth, but electricity is only part of energy and far from all energy.</x:v>
      </x:c>
      <x:c r="J64" s="4" t="str"/>
      <x:c r="K64" s="4" t="str">
        <x:v>REFERENCE_READING</x:v>
      </x:c>
      <x:c r="L64" s="4" t="str">
        <x:v>https://www.iea.org/reports/global-energy-review-2026/global-trends</x:v>
      </x:c>
    </x:row>
    <x:row r="65" ht="150" customHeight="1">
      <x:c r="A65" s="4" t="str">
        <x:v>K022</x:v>
      </x:c>
      <x:c r="B65" s="4" t="str">
        <x:v>reference</x:v>
      </x:c>
      <x:c r="C65" s="4" t="str">
        <x:v>Nonbiological intelligence and human-machine integration reach the extraordinary scale asserted for the 2045 singularity.</x:v>
      </x:c>
      <x:c r="D65" s="4" t="n">
        <x:v>2045</x:v>
      </x:c>
      <x:c r="E65" s="4" t="str">
        <x:v>NOT_DUE</x:v>
      </x:c>
      <x:c r="F65" s="4" t="str">
        <x:v>PARTLY_FULFILLED</x:v>
      </x:c>
      <x:c r="G65" s="4" t="str">
        <x:v>PENDING</x:v>
      </x:c>
      <x:c r="H65" s="4" t="n">
        <x:v>0</x:v>
      </x:c>
      <x:c r="I65" s="4" t="str">
        <x:v>The 2045 forecast is not yet due. AI capabilities are substantial, but there is no established measurement showing fulfillment of the entire singularity claim.</x:v>
      </x:c>
      <x:c r="J65" s="4" t="str"/>
      <x:c r="K65" s="4" t="str">
        <x:v>REFERENCE_READING</x:v>
      </x:c>
      <x:c r="L65" s="4" t="str">
        <x:v>https://arxiv.org/abs/2503.23674
https://www.writingsbyraykurzweil.com/so-what-is-the-singularity</x:v>
      </x:c>
    </x:row>
    <x:row r="66" ht="150" customHeight="1">
      <x:c r="A66" s="4" t="str">
        <x:v>K022</x:v>
      </x:c>
      <x:c r="B66" s="4" t="str">
        <x:v>strict</x:v>
      </x:c>
      <x:c r="C66" s="4" t="str">
        <x:v>Nonbiological intelligence and human-machine integration reach the extraordinary scale asserted for the 2045 singularity.</x:v>
      </x:c>
      <x:c r="D66" s="4" t="n">
        <x:v>2045</x:v>
      </x:c>
      <x:c r="E66" s="4" t="str">
        <x:v>NOT_DUE</x:v>
      </x:c>
      <x:c r="F66" s="4" t="str">
        <x:v>PARTLY_FULFILLED</x:v>
      </x:c>
      <x:c r="G66" s="4" t="str">
        <x:v>PENDING</x:v>
      </x:c>
      <x:c r="H66" s="4" t="n">
        <x:v>0</x:v>
      </x:c>
      <x:c r="I66" s="4" t="str">
        <x:v>The 2045 forecast is not yet due. AI capabilities are substantial, but there is no established measurement showing fulfillment of the entire singularity claim.</x:v>
      </x:c>
      <x:c r="J66" s="4" t="str"/>
      <x:c r="K66" s="4" t="str">
        <x:v>REFERENCE_READING</x:v>
      </x:c>
      <x:c r="L66" s="4" t="str">
        <x:v>https://arxiv.org/abs/2503.23674
https://www.writingsbyraykurzweil.com/so-what-is-the-singularity</x:v>
      </x:c>
    </x:row>
    <x:row r="67" ht="150" customHeight="1">
      <x:c r="A67" s="4" t="str">
        <x:v>K022</x:v>
      </x:c>
      <x:c r="B67" s="4" t="str">
        <x:v>broader</x:v>
      </x:c>
      <x:c r="C67" s="4" t="str">
        <x:v>Nonbiological intelligence and human-machine integration reach the extraordinary scale asserted for the 2045 singularity.</x:v>
      </x:c>
      <x:c r="D67" s="4" t="n">
        <x:v>2045</x:v>
      </x:c>
      <x:c r="E67" s="4" t="str">
        <x:v>NOT_DUE</x:v>
      </x:c>
      <x:c r="F67" s="4" t="str">
        <x:v>PARTLY_FULFILLED</x:v>
      </x:c>
      <x:c r="G67" s="4" t="str">
        <x:v>PENDING</x:v>
      </x:c>
      <x:c r="H67" s="4" t="n">
        <x:v>0</x:v>
      </x:c>
      <x:c r="I67" s="4" t="str">
        <x:v>The 2045 forecast is not yet due. AI capabilities are substantial, but there is no established measurement showing fulfillment of the entire singularity claim.</x:v>
      </x:c>
      <x:c r="J67" s="4" t="str"/>
      <x:c r="K67" s="4" t="str">
        <x:v>REFERENCE_READING</x:v>
      </x:c>
      <x:c r="L67" s="4" t="str">
        <x:v>https://arxiv.org/abs/2503.23674
https://www.writingsbyraykurzweil.com/so-what-is-the-singularity</x:v>
      </x:c>
    </x:row>
    <x:row r="68" ht="150" customHeight="1">
      <x:c r="A68" s="4" t="str">
        <x:v>K023</x:v>
      </x:c>
      <x:c r="B68" s="4" t="str">
        <x:v>reference</x:v>
      </x:c>
      <x:c r="C68" s="4" t="str">
        <x:v>A machine passes the specific two-hour, multi-judge protocol in the Kurzweil–Kapor wager.</x:v>
      </x:c>
      <x:c r="D68" s="4" t="n">
        <x:v>2029</x:v>
      </x:c>
      <x:c r="E68" s="4" t="str">
        <x:v>NOT_DUE</x:v>
      </x:c>
      <x:c r="F68" s="4" t="str">
        <x:v>NOT_FULFILLED</x:v>
      </x:c>
      <x:c r="G68" s="4" t="str">
        <x:v>PENDING</x:v>
      </x:c>
      <x:c r="H68" s="4" t="n">
        <x:v>0</x:v>
      </x:c>
      <x:c r="I68" s="4" t="str">
        <x:v>The 2029 wager deadline is still ahead. The located evidence does not document a completed pass under that contract. Five-minute conversational studies are a different protocol.</x:v>
      </x:c>
      <x:c r="J68" s="4" t="str"/>
      <x:c r="K68" s="4" t="str">
        <x:v>REFERENCE_READING</x:v>
      </x:c>
      <x:c r="L68" s="4" t="str">
        <x:v>https://longbets.org/1/
https://arxiv.org/abs/2503.23674</x:v>
      </x:c>
    </x:row>
    <x:row r="69" ht="150" customHeight="1">
      <x:c r="A69" s="4" t="str">
        <x:v>K023</x:v>
      </x:c>
      <x:c r="B69" s="4" t="str">
        <x:v>strict</x:v>
      </x:c>
      <x:c r="C69" s="4" t="str">
        <x:v>A machine passes the specific two-hour, multi-judge protocol in the Kurzweil–Kapor wager.</x:v>
      </x:c>
      <x:c r="D69" s="4" t="n">
        <x:v>2029</x:v>
      </x:c>
      <x:c r="E69" s="4" t="str">
        <x:v>NOT_DUE</x:v>
      </x:c>
      <x:c r="F69" s="4" t="str">
        <x:v>NOT_FULFILLED</x:v>
      </x:c>
      <x:c r="G69" s="4" t="str">
        <x:v>PENDING</x:v>
      </x:c>
      <x:c r="H69" s="4" t="n">
        <x:v>0</x:v>
      </x:c>
      <x:c r="I69" s="4" t="str">
        <x:v>The 2029 wager deadline is still ahead. The located evidence does not document a completed pass under that contract. Five-minute conversational studies are a different protocol.</x:v>
      </x:c>
      <x:c r="J69" s="4" t="str"/>
      <x:c r="K69" s="4" t="str">
        <x:v>REFERENCE_READING</x:v>
      </x:c>
      <x:c r="L69" s="4" t="str">
        <x:v>https://longbets.org/1/
https://arxiv.org/abs/2503.23674</x:v>
      </x:c>
    </x:row>
    <x:row r="70" ht="150" customHeight="1">
      <x:c r="A70" s="4" t="str">
        <x:v>K023</x:v>
      </x:c>
      <x:c r="B70" s="4" t="str">
        <x:v>broader</x:v>
      </x:c>
      <x:c r="C70" s="4" t="str">
        <x:v>A machine is judged human in a controlled short conversational imitation test.</x:v>
      </x:c>
      <x:c r="D70" s="4" t="n">
        <x:v>2029</x:v>
      </x:c>
      <x:c r="E70" s="4" t="str">
        <x:v>NOT_DUE</x:v>
      </x:c>
      <x:c r="F70" s="4" t="str">
        <x:v>FULFILLED</x:v>
      </x:c>
      <x:c r="G70" s="4" t="str">
        <x:v>CORRECT</x:v>
      </x:c>
      <x:c r="H70" s="4" t="n">
        <x:v>0</x:v>
      </x:c>
      <x:c r="I70" s="4" t="str">
        <x:v>The 2025 study supports this relaxed test. It does not settle the contract.</x:v>
      </x:c>
      <x:c r="J70" s="4" t="str">
        <x:v>Two-hour interviews and contractual judging conditions</x:v>
      </x:c>
      <x:c r="K70" s="4" t="str">
        <x:v>ALTERNATIVE_READING</x:v>
      </x:c>
      <x:c r="L70" s="4" t="str">
        <x:v>https://longbets.org/1/
https://arxiv.org/abs/2503.23674</x:v>
      </x:c>
    </x:row>
    <x:row r="71" ht="150" customHeight="1">
      <x:c r="A71" s="4" t="str">
        <x:v>K024</x:v>
      </x:c>
      <x:c r="B71" s="4" t="str">
        <x:v>reference</x:v>
      </x:c>
      <x:c r="C71" s="4" t="str">
        <x:v>Deployed in-body nanorobots scout the bloodstream and carry out limited repair, beyond passive drug nanoparticles.</x:v>
      </x:c>
      <x:c r="D71" s="4" t="n">
        <x:v>2029</x:v>
      </x:c>
      <x:c r="E71" s="4" t="str">
        <x:v>NOT_DUE</x:v>
      </x:c>
      <x:c r="F71" s="4" t="str">
        <x:v>PARTLY_FULFILLED</x:v>
      </x:c>
      <x:c r="G71" s="4" t="str">
        <x:v>PENDING</x:v>
      </x:c>
      <x:c r="H71" s="4" t="n">
        <x:v>0</x:v>
      </x:c>
      <x:c r="I71" s="4" t="str">
        <x:v>The verified adaptation puts this version in 2029, so it is pending. Medical microrobotics has genuine experimental progress but clinical translation and in-body autonomy remain material gaps.</x:v>
      </x:c>
      <x:c r="J71" s="4" t="str"/>
      <x:c r="K71" s="4" t="str">
        <x:v>REFERENCE_READING</x:v>
      </x:c>
      <x:c r="L71" s="4" t="str">
        <x:v>https://onlinelibrary.wiley.com/doi/10.1002/smb2.70030</x:v>
      </x:c>
    </x:row>
    <x:row r="72" ht="150" customHeight="1">
      <x:c r="A72" s="4" t="str">
        <x:v>K024</x:v>
      </x:c>
      <x:c r="B72" s="4" t="str">
        <x:v>strict</x:v>
      </x:c>
      <x:c r="C72" s="4" t="str">
        <x:v>Deployed in-body nanorobots scout the bloodstream and carry out limited repair, beyond passive drug nanoparticles.</x:v>
      </x:c>
      <x:c r="D72" s="4" t="n">
        <x:v>2029</x:v>
      </x:c>
      <x:c r="E72" s="4" t="str">
        <x:v>NOT_DUE</x:v>
      </x:c>
      <x:c r="F72" s="4" t="str">
        <x:v>PARTLY_FULFILLED</x:v>
      </x:c>
      <x:c r="G72" s="4" t="str">
        <x:v>PENDING</x:v>
      </x:c>
      <x:c r="H72" s="4" t="n">
        <x:v>0</x:v>
      </x:c>
      <x:c r="I72" s="4" t="str">
        <x:v>The verified adaptation puts this version in 2029, so it is pending. Medical microrobotics has genuine experimental progress but clinical translation and in-body autonomy remain material gaps.</x:v>
      </x:c>
      <x:c r="J72" s="4" t="str"/>
      <x:c r="K72" s="4" t="str">
        <x:v>REFERENCE_READING</x:v>
      </x:c>
      <x:c r="L72" s="4" t="str">
        <x:v>https://onlinelibrary.wiley.com/doi/10.1002/smb2.70030</x:v>
      </x:c>
    </x:row>
    <x:row r="73" ht="150" customHeight="1">
      <x:c r="A73" s="4" t="str">
        <x:v>K024</x:v>
      </x:c>
      <x:c r="B73" s="4" t="str">
        <x:v>broader</x:v>
      </x:c>
      <x:c r="C73" s="4" t="str">
        <x:v>Deployed in-body nanorobots scout the bloodstream and carry out limited repair, beyond passive drug nanoparticles.</x:v>
      </x:c>
      <x:c r="D73" s="4" t="n">
        <x:v>2029</x:v>
      </x:c>
      <x:c r="E73" s="4" t="str">
        <x:v>NOT_DUE</x:v>
      </x:c>
      <x:c r="F73" s="4" t="str">
        <x:v>PARTLY_FULFILLED</x:v>
      </x:c>
      <x:c r="G73" s="4" t="str">
        <x:v>PENDING</x:v>
      </x:c>
      <x:c r="H73" s="4" t="n">
        <x:v>0</x:v>
      </x:c>
      <x:c r="I73" s="4" t="str">
        <x:v>The verified adaptation puts this version in 2029, so it is pending. Medical microrobotics has genuine experimental progress but clinical translation and in-body autonomy remain material gaps.</x:v>
      </x:c>
      <x:c r="J73" s="4" t="str"/>
      <x:c r="K73" s="4" t="str">
        <x:v>REFERENCE_READING</x:v>
      </x:c>
      <x:c r="L73" s="4" t="str">
        <x:v>https://onlinelibrary.wiley.com/doi/10.1002/smb2.70030</x:v>
      </x:c>
    </x:row>
    <x:row r="74" ht="150" customHeight="1">
      <x:c r="A74" s="4" t="str">
        <x:v>K025</x:v>
      </x:c>
      <x:c r="B74" s="4" t="str">
        <x:v>reference</x:v>
      </x:c>
      <x:c r="C74" s="4" t="str">
        <x:v>About $1,000 purchases the forecast’s roughly 10^16 calculations/second brain-hardware budget, using an explicit arithmetic proxy.</x:v>
      </x:c>
      <x:c r="D74" s="4" t="n">
        <x:v>2020</x:v>
      </x:c>
      <x:c r="E74" s="4" t="str">
        <x:v>NOT_FULFILLED</x:v>
      </x:c>
      <x:c r="F74" s="4" t="str">
        <x:v>NOT_FULFILLED</x:v>
      </x:c>
      <x:c r="G74" s="4" t="str">
        <x:v>WRONG</x:v>
      </x:c>
      <x:c r="H74" s="4" t="n">
        <x:v>1</x:v>
      </x:c>
      <x:c r="I74" s="4" t="str">
        <x:v>A 2020 RTX 3080 delivered roughly 3×10^13 FP32 operations/second, well below 10^16 even before the rest of the PC. The checked $999-launch RTX 5080 class remains below 10^16 even using the much less comparable low-precision AI figure. The constant-dollar adjustment does not bridge the large FP32 gap.</x:v>
      </x:c>
      <x:c r="J74" s="4" t="str"/>
      <x:c r="K74" s="4" t="str">
        <x:v>REFERENCE_READING</x:v>
      </x:c>
      <x:c r="L74" s="4" t="str">
        <x:v>https://www.writingsbyraykurzweil.com/so-what-is-the-singularity
https://www.nvidia.com/en-us/geforce/news/introducing-rtx-30-series-graphics-cards/
https://www.nvidia.com/en-us/geforce/graphics-cards/50-series/rtx-5080/
https://investor.nvidia.com/news/press-release-details/2025/NVIDIA-Blackwell-GeForce-RTX-50-Series-Opens-New-World-of-AI-Computer-Graphics/default.aspx</x:v>
      </x:c>
    </x:row>
    <x:row r="75" ht="150" customHeight="1">
      <x:c r="A75" s="4" t="str">
        <x:v>K025</x:v>
      </x:c>
      <x:c r="B75" s="4" t="str">
        <x:v>strict</x:v>
      </x:c>
      <x:c r="C75" s="4" t="str">
        <x:v>About $1,000 purchases the forecast’s roughly 10^16 calculations/second brain-hardware budget, using an explicit arithmetic proxy.</x:v>
      </x:c>
      <x:c r="D75" s="4" t="n">
        <x:v>2020</x:v>
      </x:c>
      <x:c r="E75" s="4" t="str">
        <x:v>NOT_FULFILLED</x:v>
      </x:c>
      <x:c r="F75" s="4" t="str">
        <x:v>NOT_FULFILLED</x:v>
      </x:c>
      <x:c r="G75" s="4" t="str">
        <x:v>WRONG</x:v>
      </x:c>
      <x:c r="H75" s="4" t="n">
        <x:v>1</x:v>
      </x:c>
      <x:c r="I75" s="4" t="str">
        <x:v>A 2020 RTX 3080 delivered roughly 3×10^13 FP32 operations/second, well below 10^16 even before the rest of the PC. The checked $999-launch RTX 5080 class remains below 10^16 even using the much less comparable low-precision AI figure. The constant-dollar adjustment does not bridge the large FP32 gap.</x:v>
      </x:c>
      <x:c r="J75" s="4" t="str"/>
      <x:c r="K75" s="4" t="str">
        <x:v>REFERENCE_READING</x:v>
      </x:c>
      <x:c r="L75" s="4" t="str">
        <x:v>https://www.writingsbyraykurzweil.com/so-what-is-the-singularity
https://www.nvidia.com/en-us/geforce/news/introducing-rtx-30-series-graphics-cards/
https://www.nvidia.com/en-us/geforce/graphics-cards/50-series/rtx-5080/
https://investor.nvidia.com/news/press-release-details/2025/NVIDIA-Blackwell-GeForce-RTX-50-Series-Opens-New-World-of-AI-Computer-Graphics/default.aspx</x:v>
      </x:c>
    </x:row>
    <x:row r="76" ht="150" customHeight="1">
      <x:c r="A76" s="4" t="str">
        <x:v>K025</x:v>
      </x:c>
      <x:c r="B76" s="4" t="str">
        <x:v>broader</x:v>
      </x:c>
      <x:c r="C76" s="4" t="str">
        <x:v>A $1,000-class machine provides useful human-like AI tasks rather than matching a numeric brain-compute estimate.</x:v>
      </x:c>
      <x:c r="D76" s="4" t="n">
        <x:v>2020</x:v>
      </x:c>
      <x:c r="E76" s="4" t="str">
        <x:v>PARTLY_FULFILLED</x:v>
      </x:c>
      <x:c r="F76" s="4" t="str">
        <x:v>PARTLY_FULFILLED</x:v>
      </x:c>
      <x:c r="G76" s="4" t="str">
        <x:v>PARTIAL</x:v>
      </x:c>
      <x:c r="H76" s="4" t="n">
        <x:v>1</x:v>
      </x:c>
      <x:c r="I76" s="4" t="str">
        <x:v>Useful AI does not establish whole-brain throughput or general human intelligence; this task-capability reading is only partially realized.</x:v>
      </x:c>
      <x:c r="J76" s="4" t="str">
        <x:v>Numeric throughput threshold and hardware-only comparison</x:v>
      </x:c>
      <x:c r="K76" s="4" t="str">
        <x:v>ALTERNATIVE_READING</x:v>
      </x:c>
      <x:c r="L76" s="4" t="str">
        <x:v>https://www.writingsbyraykurzweil.com/so-what-is-the-singularity
https://www.nvidia.com/en-us/geforce/news/introducing-rtx-30-series-graphics-cards/
https://www.nvidia.com/en-us/geforce/graphics-cards/50-series/rtx-5080/
https://investor.nvidia.com/news/press-release-details/2025/NVIDIA-Blackwell-GeForce-RTX-50-Series-Opens-New-World-of-AI-Computer-Graphics/default.aspx</x:v>
      </x:c>
    </x:row>
    <x:row r="77" ht="150" customHeight="1">
      <x:c r="A77" s="4" t="str">
        <x:v>K026</x:v>
      </x:c>
      <x:c r="B77" s="4" t="str">
        <x:v>reference</x:v>
      </x:c>
      <x:c r="C77" s="4" t="str">
        <x:v>Ordinary intelligent highways accept a vehicle into automatic road-control infrastructure while local roads remain conventional.</x:v>
      </x:c>
      <x:c r="D77" s="4" t="n">
        <x:v>2009</x:v>
      </x:c>
      <x:c r="E77" s="4" t="str">
        <x:v>NOT_FULFILLED</x:v>
      </x:c>
      <x:c r="F77" s="4" t="str">
        <x:v>PARTLY_FULFILLED</x:v>
      </x:c>
      <x:c r="G77" s="4" t="str">
        <x:v>PARTIAL</x:v>
      </x:c>
      <x:c r="H77" s="4" t="n">
        <x:v>1</x:v>
      </x:c>
      <x:c r="I77" s="4" t="str">
        <x:v>Demonstrations of autonomy did not create the forecast’s functioning highway-control network in 2009. Automated vehicle capability has advanced substantially, but Waymo’s onboard autonomy is not the forecast’s road-embedded highway architecture.</x:v>
      </x:c>
      <x:c r="J77" s="4" t="str"/>
      <x:c r="K77" s="4" t="str">
        <x:v>REFERENCE_READING</x:v>
      </x:c>
      <x:c r="L77" s="4" t="str">
        <x:v>https://news.cornell.edu/stories/2007/11/cornell-meets-darpa-urban-challenge
https://waymo.com/blog/2020/10/waymo-is-opening-its-fully-driverless-service-in-phoenix/
https://www.nhtsa.gov/vehicle-safety/automated-vehicle-safety</x:v>
      </x:c>
    </x:row>
    <x:row r="78" ht="150" customHeight="1">
      <x:c r="A78" s="4" t="str">
        <x:v>K026</x:v>
      </x:c>
      <x:c r="B78" s="4" t="str">
        <x:v>strict</x:v>
      </x:c>
      <x:c r="C78" s="4" t="str">
        <x:v>Ordinary intelligent highways accept a vehicle into automatic road-control infrastructure while local roads remain conventional.</x:v>
      </x:c>
      <x:c r="D78" s="4" t="n">
        <x:v>2009</x:v>
      </x:c>
      <x:c r="E78" s="4" t="str">
        <x:v>NOT_FULFILLED</x:v>
      </x:c>
      <x:c r="F78" s="4" t="str">
        <x:v>PARTLY_FULFILLED</x:v>
      </x:c>
      <x:c r="G78" s="4" t="str">
        <x:v>PARTIAL</x:v>
      </x:c>
      <x:c r="H78" s="4" t="n">
        <x:v>1</x:v>
      </x:c>
      <x:c r="I78" s="4" t="str">
        <x:v>Demonstrations of autonomy did not create the forecast’s functioning highway-control network in 2009. Automated vehicle capability has advanced substantially, but Waymo’s onboard autonomy is not the forecast’s road-embedded highway architecture.</x:v>
      </x:c>
      <x:c r="J78" s="4" t="str"/>
      <x:c r="K78" s="4" t="str">
        <x:v>REFERENCE_READING</x:v>
      </x:c>
      <x:c r="L78" s="4" t="str">
        <x:v>https://news.cornell.edu/stories/2007/11/cornell-meets-darpa-urban-challenge
https://waymo.com/blog/2020/10/waymo-is-opening-its-fully-driverless-service-in-phoenix/
https://www.nhtsa.gov/vehicle-safety/automated-vehicle-safety</x:v>
      </x:c>
    </x:row>
    <x:row r="79" ht="150" customHeight="1">
      <x:c r="A79" s="4" t="str">
        <x:v>K026</x:v>
      </x:c>
      <x:c r="B79" s="4" t="str">
        <x:v>broader</x:v>
      </x:c>
      <x:c r="C79" s="4" t="str">
        <x:v>Driverless travel is offered on public roads, regardless of whether intelligence is onboard or in the road.</x:v>
      </x:c>
      <x:c r="D79" s="4" t="n">
        <x:v>2009</x:v>
      </x:c>
      <x:c r="E79" s="4" t="str">
        <x:v>PARTLY_FULFILLED</x:v>
      </x:c>
      <x:c r="F79" s="4" t="str">
        <x:v>FULFILLED</x:v>
      </x:c>
      <x:c r="G79" s="4" t="str">
        <x:v>LATE</x:v>
      </x:c>
      <x:c r="H79" s="4" t="n">
        <x:v>1</x:v>
      </x:c>
      <x:c r="I79" s="4" t="str">
        <x:v>Public fully driverless Waymo service establishes this functional result in 2020.</x:v>
      </x:c>
      <x:c r="J79" s="4" t="str">
        <x:v>Infrastructure mechanism and highway-specific form</x:v>
      </x:c>
      <x:c r="K79" s="4" t="str">
        <x:v>ALTERNATIVE_READING</x:v>
      </x:c>
      <x:c r="L79" s="4" t="str">
        <x:v>https://news.cornell.edu/stories/2007/11/cornell-meets-darpa-urban-challenge
https://waymo.com/blog/2020/10/waymo-is-opening-its-fully-driverless-service-in-phoenix/
https://www.nhtsa.gov/vehicle-safety/automated-vehicle-safety</x:v>
      </x:c>
    </x:row>
    <x:row r="80" ht="150" customHeight="1">
      <x:c r="A80" s="4" t="str">
        <x:v>K027</x:v>
      </x:c>
      <x:c r="B80" s="4" t="str">
        <x:v>reference</x:v>
      </x:c>
      <x:c r="C80" s="4" t="str">
        <x:v>Ordinary population life expectancy/expected lifespan exceeds 100 years, not a few individuals living past 100.</x:v>
      </x:c>
      <x:c r="D80" s="4" t="n">
        <x:v>2019</x:v>
      </x:c>
      <x:c r="E80" s="4" t="str">
        <x:v>NOT_FULFILLED</x:v>
      </x:c>
      <x:c r="F80" s="4" t="str">
        <x:v>NOT_FULFILLED</x:v>
      </x:c>
      <x:c r="G80" s="4" t="str">
        <x:v>WRONG</x:v>
      </x:c>
      <x:c r="H80" s="4" t="n">
        <x:v>1</x:v>
      </x:c>
      <x:c r="I80" s="4" t="str">
        <x:v>Observed 2019 US life expectancy was 78.8 years, far below 100. CDC’s 2024 estimate is 79.0 years. Cohort hopes or exceptional centenarians do not establish ordinary life expectancy over 100.</x:v>
      </x:c>
      <x:c r="J80" s="4" t="str"/>
      <x:c r="K80" s="4" t="str">
        <x:v>REFERENCE_READING</x:v>
      </x:c>
      <x:c r="L80" s="4" t="str">
        <x:v>https://www.cdc.gov/nchs/products/databriefs/db395.htm
https://www.cdc.gov/nchs/products/databriefs/db548.htm</x:v>
      </x:c>
    </x:row>
    <x:row r="81" ht="150" customHeight="1">
      <x:c r="A81" s="4" t="str">
        <x:v>K027</x:v>
      </x:c>
      <x:c r="B81" s="4" t="str">
        <x:v>strict</x:v>
      </x:c>
      <x:c r="C81" s="4" t="str">
        <x:v>Ordinary population life expectancy/expected lifespan exceeds 100 years, not a few individuals living past 100.</x:v>
      </x:c>
      <x:c r="D81" s="4" t="n">
        <x:v>2019</x:v>
      </x:c>
      <x:c r="E81" s="4" t="str">
        <x:v>NOT_FULFILLED</x:v>
      </x:c>
      <x:c r="F81" s="4" t="str">
        <x:v>NOT_FULFILLED</x:v>
      </x:c>
      <x:c r="G81" s="4" t="str">
        <x:v>WRONG</x:v>
      </x:c>
      <x:c r="H81" s="4" t="n">
        <x:v>1</x:v>
      </x:c>
      <x:c r="I81" s="4" t="str">
        <x:v>Observed 2019 US life expectancy was 78.8 years, far below 100. CDC’s 2024 estimate is 79.0 years. Cohort hopes or exceptional centenarians do not establish ordinary life expectancy over 100.</x:v>
      </x:c>
      <x:c r="J81" s="4" t="str"/>
      <x:c r="K81" s="4" t="str">
        <x:v>REFERENCE_READING</x:v>
      </x:c>
      <x:c r="L81" s="4" t="str">
        <x:v>https://www.cdc.gov/nchs/products/databriefs/db395.htm
https://www.cdc.gov/nchs/products/databriefs/db548.htm</x:v>
      </x:c>
    </x:row>
    <x:row r="82" ht="150" customHeight="1">
      <x:c r="A82" s="4" t="str">
        <x:v>K027</x:v>
      </x:c>
      <x:c r="B82" s="4" t="str">
        <x:v>broader</x:v>
      </x:c>
      <x:c r="C82" s="4" t="str">
        <x:v>Ordinary population life expectancy/expected lifespan exceeds 100 years, not a few individuals living past 100.</x:v>
      </x:c>
      <x:c r="D82" s="4" t="n">
        <x:v>2019</x:v>
      </x:c>
      <x:c r="E82" s="4" t="str">
        <x:v>NOT_FULFILLED</x:v>
      </x:c>
      <x:c r="F82" s="4" t="str">
        <x:v>NOT_FULFILLED</x:v>
      </x:c>
      <x:c r="G82" s="4" t="str">
        <x:v>WRONG</x:v>
      </x:c>
      <x:c r="H82" s="4" t="n">
        <x:v>1</x:v>
      </x:c>
      <x:c r="I82" s="4" t="str">
        <x:v>Observed 2019 US life expectancy was 78.8 years, far below 100. CDC’s 2024 estimate is 79.0 years. Cohort hopes or exceptional centenarians do not establish ordinary life expectancy over 100.</x:v>
      </x:c>
      <x:c r="J82" s="4" t="str"/>
      <x:c r="K82" s="4" t="str">
        <x:v>REFERENCE_READING</x:v>
      </x:c>
      <x:c r="L82" s="4" t="str">
        <x:v>https://www.cdc.gov/nchs/products/databriefs/db395.htm
https://www.cdc.gov/nchs/products/databriefs/db548.htm</x:v>
      </x:c>
    </x:row>
    <x:row r="83" ht="150" customHeight="1">
      <x:c r="A83" s="4" t="str">
        <x:v>K028</x:v>
      </x:c>
      <x:c r="B83" s="4" t="str">
        <x:v>reference</x:v>
      </x:c>
      <x:c r="C83" s="4" t="str">
        <x:v>Population life expectancy reaches 120 years.</x:v>
      </x:c>
      <x:c r="D83" s="4" t="n">
        <x:v>2029</x:v>
      </x:c>
      <x:c r="E83" s="4" t="str">
        <x:v>NOT_DUE</x:v>
      </x:c>
      <x:c r="F83" s="4" t="str">
        <x:v>NOT_FULFILLED</x:v>
      </x:c>
      <x:c r="G83" s="4" t="str">
        <x:v>PENDING</x:v>
      </x:c>
      <x:c r="H83" s="4" t="n">
        <x:v>0</x:v>
      </x:c>
      <x:c r="I83" s="4" t="str">
        <x:v>The target is 2029; no deadline failure is assigned early. Observed life expectancy remains far below 120, despite specific medical improvements.</x:v>
      </x:c>
      <x:c r="J83" s="4" t="str"/>
      <x:c r="K83" s="4" t="str">
        <x:v>REFERENCE_READING</x:v>
      </x:c>
      <x:c r="L83" s="4" t="str">
        <x:v>https://www.cdc.gov/nchs/products/databriefs/db548.htm</x:v>
      </x:c>
    </x:row>
    <x:row r="84" ht="150" customHeight="1">
      <x:c r="A84" s="4" t="str">
        <x:v>K028</x:v>
      </x:c>
      <x:c r="B84" s="4" t="str">
        <x:v>strict</x:v>
      </x:c>
      <x:c r="C84" s="4" t="str">
        <x:v>Population life expectancy reaches 120 years.</x:v>
      </x:c>
      <x:c r="D84" s="4" t="n">
        <x:v>2029</x:v>
      </x:c>
      <x:c r="E84" s="4" t="str">
        <x:v>NOT_DUE</x:v>
      </x:c>
      <x:c r="F84" s="4" t="str">
        <x:v>NOT_FULFILLED</x:v>
      </x:c>
      <x:c r="G84" s="4" t="str">
        <x:v>PENDING</x:v>
      </x:c>
      <x:c r="H84" s="4" t="n">
        <x:v>0</x:v>
      </x:c>
      <x:c r="I84" s="4" t="str">
        <x:v>The target is 2029; no deadline failure is assigned early. Observed life expectancy remains far below 120, despite specific medical improvements.</x:v>
      </x:c>
      <x:c r="J84" s="4" t="str"/>
      <x:c r="K84" s="4" t="str">
        <x:v>REFERENCE_READING</x:v>
      </x:c>
      <x:c r="L84" s="4" t="str">
        <x:v>https://www.cdc.gov/nchs/products/databriefs/db548.htm</x:v>
      </x:c>
    </x:row>
    <x:row r="85" ht="150" customHeight="1">
      <x:c r="A85" s="4" t="str">
        <x:v>K028</x:v>
      </x:c>
      <x:c r="B85" s="4" t="str">
        <x:v>broader</x:v>
      </x:c>
      <x:c r="C85" s="4" t="str">
        <x:v>Population life expectancy reaches 120 years.</x:v>
      </x:c>
      <x:c r="D85" s="4" t="n">
        <x:v>2029</x:v>
      </x:c>
      <x:c r="E85" s="4" t="str">
        <x:v>NOT_DUE</x:v>
      </x:c>
      <x:c r="F85" s="4" t="str">
        <x:v>NOT_FULFILLED</x:v>
      </x:c>
      <x:c r="G85" s="4" t="str">
        <x:v>PENDING</x:v>
      </x:c>
      <x:c r="H85" s="4" t="n">
        <x:v>0</x:v>
      </x:c>
      <x:c r="I85" s="4" t="str">
        <x:v>The target is 2029; no deadline failure is assigned early. Observed life expectancy remains far below 120, despite specific medical improvements.</x:v>
      </x:c>
      <x:c r="J85" s="4" t="str"/>
      <x:c r="K85" s="4" t="str">
        <x:v>REFERENCE_READING</x:v>
      </x:c>
      <x:c r="L85" s="4" t="str">
        <x:v>https://www.cdc.gov/nchs/products/databriefs/db548.htm</x:v>
      </x:c>
    </x:row>
    <x:row r="86" ht="150" customHeight="1">
      <x:c r="A86" s="4" t="str">
        <x:v>K029</x:v>
      </x:c>
      <x:c r="B86" s="4" t="str">
        <x:v>reference</x:v>
      </x:c>
      <x:c r="C86" s="4" t="str">
        <x:v>Gestures and natural spoken interaction predominate and keyboards become rare, retaining the substantive keyboard-rarity clause.</x:v>
      </x:c>
      <x:c r="D86" s="4" t="n">
        <x:v>2019</x:v>
      </x:c>
      <x:c r="E86" s="4" t="str">
        <x:v>PARTLY_FULFILLED</x:v>
      </x:c>
      <x:c r="F86" s="4" t="str">
        <x:v>PARTLY_FULFILLED</x:v>
      </x:c>
      <x:c r="G86" s="4" t="str">
        <x:v>PARTIAL</x:v>
      </x:c>
      <x:c r="H86" s="4" t="n">
        <x:v>1</x:v>
      </x:c>
      <x:c r="I86" s="4" t="str">
        <x:v>Touchscreens and assistants were widespread by 2019, but keyboards remained normal. Multimodal AI expands the predicted interface, yet physical and on-screen keyboards are not rare. The compound remains partial.</x:v>
      </x:c>
      <x:c r="J86" s="4" t="str"/>
      <x:c r="K86" s="4" t="str">
        <x:v>REFERENCE_READING</x:v>
      </x:c>
      <x:c r="L86" s="4" t="str">
        <x:v>https://www.apple.com/newsroom/2011/10/04Apple-Launches-iPhone-4S-iOS-5-iCloud/
https://www.pressebox.com/pressrelease/gartner-uk-ltd/Gartner-Says-Annual-Smartphone-Sales-Surpassed-Sales-of-Feature-Phones-for-the-First-Time-in-2013/boxid/658123
https://www.microsoft.com/en-us/microsoft-365/blog/2019/07/11/microsoft-teams-reaches-13-million-daily-active-users-introduces-4-new-ways-for-teams-to-work-better-together/</x:v>
      </x:c>
    </x:row>
    <x:row r="87" ht="150" customHeight="1">
      <x:c r="A87" s="4" t="str">
        <x:v>K029</x:v>
      </x:c>
      <x:c r="B87" s="4" t="str">
        <x:v>strict</x:v>
      </x:c>
      <x:c r="C87" s="4" t="str">
        <x:v>Gestures and natural spoken interaction predominate and keyboards become rare, retaining the substantive keyboard-rarity clause.</x:v>
      </x:c>
      <x:c r="D87" s="4" t="n">
        <x:v>2019</x:v>
      </x:c>
      <x:c r="E87" s="4" t="str">
        <x:v>PARTLY_FULFILLED</x:v>
      </x:c>
      <x:c r="F87" s="4" t="str">
        <x:v>PARTLY_FULFILLED</x:v>
      </x:c>
      <x:c r="G87" s="4" t="str">
        <x:v>PARTIAL</x:v>
      </x:c>
      <x:c r="H87" s="4" t="n">
        <x:v>1</x:v>
      </x:c>
      <x:c r="I87" s="4" t="str">
        <x:v>Touchscreens and assistants were widespread by 2019, but keyboards remained normal. Multimodal AI expands the predicted interface, yet physical and on-screen keyboards are not rare. The compound remains partial.</x:v>
      </x:c>
      <x:c r="J87" s="4" t="str"/>
      <x:c r="K87" s="4" t="str">
        <x:v>REFERENCE_READING</x:v>
      </x:c>
      <x:c r="L87" s="4" t="str">
        <x:v>https://www.apple.com/newsroom/2011/10/04Apple-Launches-iPhone-4S-iOS-5-iCloud/
https://www.pressebox.com/pressrelease/gartner-uk-ltd/Gartner-Says-Annual-Smartphone-Sales-Surpassed-Sales-of-Feature-Phones-for-the-First-Time-in-2013/boxid/658123
https://www.microsoft.com/en-us/microsoft-365/blog/2019/07/11/microsoft-teams-reaches-13-million-daily-active-users-introduces-4-new-ways-for-teams-to-work-better-together/</x:v>
      </x:c>
    </x:row>
    <x:row r="88" ht="150" customHeight="1">
      <x:c r="A88" s="4" t="str">
        <x:v>K029</x:v>
      </x:c>
      <x:c r="B88" s="4" t="str">
        <x:v>broader</x:v>
      </x:c>
      <x:c r="C88" s="4" t="str">
        <x:v>Natural speech and gestures become ordinary major ways to interact, without keyboard disappearance.</x:v>
      </x:c>
      <x:c r="D88" s="4" t="n">
        <x:v>2019</x:v>
      </x:c>
      <x:c r="E88" s="4" t="str">
        <x:v>FULFILLED</x:v>
      </x:c>
      <x:c r="F88" s="4" t="str">
        <x:v>FULFILLED</x:v>
      </x:c>
      <x:c r="G88" s="4" t="str">
        <x:v>CORRECT</x:v>
      </x:c>
      <x:c r="H88" s="4" t="n">
        <x:v>1</x:v>
      </x:c>
      <x:c r="I88" s="4" t="str">
        <x:v>Phones and voice assistants realize this less demanding interaction claim by 2019.</x:v>
      </x:c>
      <x:c r="J88" s="4" t="str">
        <x:v>Keyboard rarity and dominance threshold</x:v>
      </x:c>
      <x:c r="K88" s="4" t="str">
        <x:v>ALTERNATIVE_READING</x:v>
      </x:c>
      <x:c r="L88" s="4" t="str">
        <x:v>https://www.apple.com/newsroom/2011/10/04Apple-Launches-iPhone-4S-iOS-5-iCloud/
https://www.pressebox.com/pressrelease/gartner-uk-ltd/Gartner-Says-Annual-Smartphone-Sales-Surpassed-Sales-of-Feature-Phones-for-the-First-Time-in-2013/boxid/658123
https://www.microsoft.com/en-us/microsoft-365/blog/2019/07/11/microsoft-teams-reaches-13-million-daily-active-users-introduces-4-new-ways-for-teams-to-work-better-together/</x:v>
      </x:c>
    </x:row>
    <x:row r="89" ht="150" customHeight="1">
      <x:c r="A89" s="4" t="str">
        <x:v>K030</x:v>
      </x:c>
      <x:c r="B89" s="4" t="str">
        <x:v>reference</x:v>
      </x:c>
      <x:c r="C89" s="4" t="str">
        <x:v>Retinal glasses/contacts with the specified exceptional resolution are routinely worn, not just demonstrated.</x:v>
      </x:c>
      <x:c r="D89" s="4" t="n">
        <x:v>2019</x:v>
      </x:c>
      <x:c r="E89" s="4" t="str">
        <x:v>PARTLY_FULFILLED</x:v>
      </x:c>
      <x:c r="F89" s="4" t="str">
        <x:v>PARTLY_FULFILLED</x:v>
      </x:c>
      <x:c r="G89" s="4" t="str">
        <x:v>PARTIAL</x:v>
      </x:c>
      <x:c r="H89" s="4" t="n">
        <x:v>1</x:v>
      </x:c>
      <x:c r="I89" s="4" t="str">
        <x:v>Near-eye displays existed in 2019, but mainstream routine use at the asserted acuity did not. Practical headsets/AR prove part of the direction, not routine retinal contacts or acuity above human vision.</x:v>
      </x:c>
      <x:c r="J89" s="4" t="str"/>
      <x:c r="K89" s="4" t="str">
        <x:v>REFERENCE_READING</x:v>
      </x:c>
      <x:c r="L89" s="4" t="str">
        <x:v>https://www.theautochannel.com/news/2004/08/10/208323.html
https://www.qualcomm.com/news/releases/2019/05/qualcomm-snapdragon-mobile-vr-platform-powers-oculus-quest</x:v>
      </x:c>
    </x:row>
    <x:row r="90" ht="150" customHeight="1">
      <x:c r="A90" s="4" t="str">
        <x:v>K030</x:v>
      </x:c>
      <x:c r="B90" s="4" t="str">
        <x:v>strict</x:v>
      </x:c>
      <x:c r="C90" s="4" t="str">
        <x:v>Retinal glasses/contacts with the specified exceptional resolution are routinely worn, not just demonstrated.</x:v>
      </x:c>
      <x:c r="D90" s="4" t="n">
        <x:v>2019</x:v>
      </x:c>
      <x:c r="E90" s="4" t="str">
        <x:v>PARTLY_FULFILLED</x:v>
      </x:c>
      <x:c r="F90" s="4" t="str">
        <x:v>PARTLY_FULFILLED</x:v>
      </x:c>
      <x:c r="G90" s="4" t="str">
        <x:v>PARTIAL</x:v>
      </x:c>
      <x:c r="H90" s="4" t="n">
        <x:v>1</x:v>
      </x:c>
      <x:c r="I90" s="4" t="str">
        <x:v>Near-eye displays existed in 2019, but mainstream routine use at the asserted acuity did not. Practical headsets/AR prove part of the direction, not routine retinal contacts or acuity above human vision.</x:v>
      </x:c>
      <x:c r="J90" s="4" t="str"/>
      <x:c r="K90" s="4" t="str">
        <x:v>REFERENCE_READING</x:v>
      </x:c>
      <x:c r="L90" s="4" t="str">
        <x:v>https://www.theautochannel.com/news/2004/08/10/208323.html
https://www.qualcomm.com/news/releases/2019/05/qualcomm-snapdragon-mobile-vr-platform-powers-oculus-quest</x:v>
      </x:c>
    </x:row>
    <x:row r="91" ht="150" customHeight="1">
      <x:c r="A91" s="4" t="str">
        <x:v>K030</x:v>
      </x:c>
      <x:c r="B91" s="4" t="str">
        <x:v>broader</x:v>
      </x:c>
      <x:c r="C91" s="4" t="str">
        <x:v>Practical consumer immersive/AR near-eye displays are available.</x:v>
      </x:c>
      <x:c r="D91" s="4" t="n">
        <x:v>2019</x:v>
      </x:c>
      <x:c r="E91" s="4" t="str">
        <x:v>FULFILLED</x:v>
      </x:c>
      <x:c r="F91" s="4" t="str">
        <x:v>FULFILLED</x:v>
      </x:c>
      <x:c r="G91" s="4" t="str">
        <x:v>CORRECT</x:v>
      </x:c>
      <x:c r="H91" s="4" t="n">
        <x:v>1</x:v>
      </x:c>
      <x:c r="I91" s="4" t="str">
        <x:v>Quest and other head-worn systems satisfy availability by 2019.</x:v>
      </x:c>
      <x:c r="J91" s="4" t="str">
        <x:v>Routine broad wearing; Retinal implementation and above-human acuity</x:v>
      </x:c>
      <x:c r="K91" s="4" t="str">
        <x:v>ALTERNATIVE_READING</x:v>
      </x:c>
      <x:c r="L91" s="4" t="str">
        <x:v>https://www.theautochannel.com/news/2004/08/10/208323.html
https://www.qualcomm.com/news/releases/2019/05/qualcomm-snapdragon-mobile-vr-platform-powers-oculus-quest</x:v>
      </x:c>
    </x:row>
    <x:row r="92" ht="150" customHeight="1">
      <x:c r="A92" s="4" t="str">
        <x:v>K031</x:v>
      </x:c>
      <x:c r="B92" s="4" t="str">
        <x:v>reference</x:v>
      </x:c>
      <x:c r="C92" s="4" t="str">
        <x:v>A widely available booth convincingly reproduces whole-body pressure, temperature, texture and wetness.</x:v>
      </x:c>
      <x:c r="D92" s="4" t="n">
        <x:v>2019</x:v>
      </x:c>
      <x:c r="E92" s="4" t="str">
        <x:v>NOT_FULFILLED</x:v>
      </x:c>
      <x:c r="F92" s="4" t="str">
        <x:v>NOT_FULFILLED</x:v>
      </x:c>
      <x:c r="G92" s="4" t="str">
        <x:v>WRONG</x:v>
      </x:c>
      <x:c r="H92" s="4" t="n">
        <x:v>1</x:v>
      </x:c>
      <x:c r="I92" s="4" t="str">
        <x:v>Limited vibration/force feedback did not constitute the specified full tactile environment in 2019. Recent finger-scale thermal/pressure research remains materially short of an all-enveloping, all-facet consumer booth.</x:v>
      </x:c>
      <x:c r="J92" s="4" t="str"/>
      <x:c r="K92" s="4" t="str">
        <x:v>REFERENCE_READING</x:v>
      </x:c>
      <x:c r="L92" s="4" t="str">
        <x:v>https://arxiv.org/abs/2508.20831</x:v>
      </x:c>
    </x:row>
    <x:row r="93" ht="150" customHeight="1">
      <x:c r="A93" s="4" t="str">
        <x:v>K031</x:v>
      </x:c>
      <x:c r="B93" s="4" t="str">
        <x:v>strict</x:v>
      </x:c>
      <x:c r="C93" s="4" t="str">
        <x:v>A widely available booth convincingly reproduces whole-body pressure, temperature, texture and wetness.</x:v>
      </x:c>
      <x:c r="D93" s="4" t="n">
        <x:v>2019</x:v>
      </x:c>
      <x:c r="E93" s="4" t="str">
        <x:v>NOT_FULFILLED</x:v>
      </x:c>
      <x:c r="F93" s="4" t="str">
        <x:v>NOT_FULFILLED</x:v>
      </x:c>
      <x:c r="G93" s="4" t="str">
        <x:v>WRONG</x:v>
      </x:c>
      <x:c r="H93" s="4" t="n">
        <x:v>1</x:v>
      </x:c>
      <x:c r="I93" s="4" t="str">
        <x:v>Limited vibration/force feedback did not constitute the specified full tactile environment in 2019. Recent finger-scale thermal/pressure research remains materially short of an all-enveloping, all-facet consumer booth.</x:v>
      </x:c>
      <x:c r="J93" s="4" t="str"/>
      <x:c r="K93" s="4" t="str">
        <x:v>REFERENCE_READING</x:v>
      </x:c>
      <x:c r="L93" s="4" t="str">
        <x:v>https://arxiv.org/abs/2508.20831</x:v>
      </x:c>
    </x:row>
    <x:row r="94" ht="150" customHeight="1">
      <x:c r="A94" s="4" t="str">
        <x:v>K031</x:v>
      </x:c>
      <x:c r="B94" s="4" t="str">
        <x:v>broader</x:v>
      </x:c>
      <x:c r="C94" s="4" t="str">
        <x:v>VR systems provide useful partial haptic feedback.</x:v>
      </x:c>
      <x:c r="D94" s="4" t="n">
        <x:v>2019</x:v>
      </x:c>
      <x:c r="E94" s="4" t="str">
        <x:v>PARTLY_FULFILLED</x:v>
      </x:c>
      <x:c r="F94" s="4" t="str">
        <x:v>PARTLY_FULFILLED</x:v>
      </x:c>
      <x:c r="G94" s="4" t="str">
        <x:v>PARTIAL</x:v>
      </x:c>
      <x:c r="H94" s="4" t="n">
        <x:v>1</x:v>
      </x:c>
      <x:c r="I94" s="4" t="str">
        <x:v>Haptic feedback is real, but treating any vibration as the full prediction would discard its central specification.</x:v>
      </x:c>
      <x:c r="J94" s="4" t="str">
        <x:v>Whole-body and all-sensation fidelity</x:v>
      </x:c>
      <x:c r="K94" s="4" t="str">
        <x:v>ALTERNATIVE_READING</x:v>
      </x:c>
      <x:c r="L94" s="4" t="str">
        <x:v>https://arxiv.org/abs/2508.20831</x:v>
      </x:c>
    </x:row>
    <x:row r="95" ht="150" customHeight="1">
      <x:c r="A95" s="4" t="str">
        <x:v>K032</x:v>
      </x:c>
      <x:c r="B95" s="4" t="str">
        <x:v>reference</x:v>
      </x:c>
      <x:c r="C95" s="4" t="str">
        <x:v>High-bandwidth neural links materially replace or augment specialized brain-region functions.</x:v>
      </x:c>
      <x:c r="D95" s="4" t="n">
        <x:v>2029</x:v>
      </x:c>
      <x:c r="E95" s="4" t="str">
        <x:v>NOT_DUE</x:v>
      </x:c>
      <x:c r="F95" s="4" t="str">
        <x:v>PARTLY_FULFILLED</x:v>
      </x:c>
      <x:c r="G95" s="4" t="str">
        <x:v>PENDING</x:v>
      </x:c>
      <x:c r="H95" s="4" t="n">
        <x:v>0</x:v>
      </x:c>
      <x:c r="I95" s="4" t="str">
        <x:v>The 2029 deadline is future. Clinical sensory implants and neural-interface research support partial progress, not the broadly perfected high-bandwidth cognitive bypass described.</x:v>
      </x:c>
      <x:c r="J95" s="4" t="str"/>
      <x:c r="K95" s="4" t="str">
        <x:v>REFERENCE_READING</x:v>
      </x:c>
      <x:c r="L95" s="4" t="str">
        <x:v>https://www.fda.gov/medical-devices/cochlear-implants/what-educators-need-know
https://www.nimh.nih.gov/news/science-updates/2023/scientists-unveil-complete-cell-map-of-a-whole-mammalian-brain
https://www.nature.com/articles/s41586-024-07686-5</x:v>
      </x:c>
    </x:row>
    <x:row r="96" ht="150" customHeight="1">
      <x:c r="A96" s="4" t="str">
        <x:v>K032</x:v>
      </x:c>
      <x:c r="B96" s="4" t="str">
        <x:v>strict</x:v>
      </x:c>
      <x:c r="C96" s="4" t="str">
        <x:v>High-bandwidth neural links materially replace or augment specialized brain-region functions.</x:v>
      </x:c>
      <x:c r="D96" s="4" t="n">
        <x:v>2029</x:v>
      </x:c>
      <x:c r="E96" s="4" t="str">
        <x:v>NOT_DUE</x:v>
      </x:c>
      <x:c r="F96" s="4" t="str">
        <x:v>PARTLY_FULFILLED</x:v>
      </x:c>
      <x:c r="G96" s="4" t="str">
        <x:v>PENDING</x:v>
      </x:c>
      <x:c r="H96" s="4" t="n">
        <x:v>0</x:v>
      </x:c>
      <x:c r="I96" s="4" t="str">
        <x:v>The 2029 deadline is future. Clinical sensory implants and neural-interface research support partial progress, not the broadly perfected high-bandwidth cognitive bypass described.</x:v>
      </x:c>
      <x:c r="J96" s="4" t="str"/>
      <x:c r="K96" s="4" t="str">
        <x:v>REFERENCE_READING</x:v>
      </x:c>
      <x:c r="L96" s="4" t="str">
        <x:v>https://www.fda.gov/medical-devices/cochlear-implants/what-educators-need-know
https://www.nimh.nih.gov/news/science-updates/2023/scientists-unveil-complete-cell-map-of-a-whole-mammalian-brain
https://www.nature.com/articles/s41586-024-07686-5</x:v>
      </x:c>
    </x:row>
    <x:row r="97" ht="150" customHeight="1">
      <x:c r="A97" s="4" t="str">
        <x:v>K032</x:v>
      </x:c>
      <x:c r="B97" s="4" t="str">
        <x:v>broader</x:v>
      </x:c>
      <x:c r="C97" s="4" t="str">
        <x:v>High-bandwidth neural links materially replace or augment specialized brain-region functions.</x:v>
      </x:c>
      <x:c r="D97" s="4" t="n">
        <x:v>2029</x:v>
      </x:c>
      <x:c r="E97" s="4" t="str">
        <x:v>NOT_DUE</x:v>
      </x:c>
      <x:c r="F97" s="4" t="str">
        <x:v>PARTLY_FULFILLED</x:v>
      </x:c>
      <x:c r="G97" s="4" t="str">
        <x:v>PENDING</x:v>
      </x:c>
      <x:c r="H97" s="4" t="n">
        <x:v>0</x:v>
      </x:c>
      <x:c r="I97" s="4" t="str">
        <x:v>The 2029 deadline is future. Clinical sensory implants and neural-interface research support partial progress, not the broadly perfected high-bandwidth cognitive bypass described.</x:v>
      </x:c>
      <x:c r="J97" s="4" t="str"/>
      <x:c r="K97" s="4" t="str">
        <x:v>REFERENCE_READING</x:v>
      </x:c>
      <x:c r="L97" s="4" t="str">
        <x:v>https://www.fda.gov/medical-devices/cochlear-implants/what-educators-need-know
https://www.nimh.nih.gov/news/science-updates/2023/scientists-unveil-complete-cell-map-of-a-whole-mammalian-brain
https://www.nature.com/articles/s41586-024-07686-5</x:v>
      </x:c>
    </x:row>
    <x:row r="98" ht="150" customHeight="1">
      <x:c r="A98" s="4" t="str">
        <x:v>K033</x:v>
      </x:c>
      <x:c r="B98" s="4" t="str">
        <x:v>reference</x:v>
      </x:c>
      <x:c r="C98" s="4" t="str">
        <x:v>A supercomputer sustains approximately 20 petaflops on a named numerical benchmark; this is the explicit hardware-throughput proxy.</x:v>
      </x:c>
      <x:c r="D98" s="4" t="n">
        <x:v>2009</x:v>
      </x:c>
      <x:c r="E98" s="4" t="str">
        <x:v>NOT_FULFILLED</x:v>
      </x:c>
      <x:c r="F98" s="4" t="str">
        <x:v>FULFILLED</x:v>
      </x:c>
      <x:c r="G98" s="4" t="str">
        <x:v>LATE</x:v>
      </x:c>
      <x:c r="H98" s="4" t="n">
        <x:v>1</x:v>
      </x:c>
      <x:c r="I98" s="4" t="str">
        <x:v>The November 2009 TOP500 leader was under 2 petaflops on LINPACK, below the stated 20-petaflop target. Tianhe-2 exceeded 20 petaflops on LINPACK in June 2013. The numerical forecast was late, not unscorable merely because brain equivalence is debated.</x:v>
      </x:c>
      <x:c r="J98" s="4" t="str"/>
      <x:c r="K98" s="4" t="str">
        <x:v>REFERENCE_READING</x:v>
      </x:c>
      <x:c r="L98" s="4" t="str">
        <x:v>https://www.top500.org/lists/top500/2009/11/
https://www.top500.org/lists/top500/2012/11/
https://www.top500.org/lists/top500/2013/06/highlights/</x:v>
      </x:c>
    </x:row>
    <x:row r="99" ht="150" customHeight="1">
      <x:c r="A99" s="4" t="str">
        <x:v>K033</x:v>
      </x:c>
      <x:c r="B99" s="4" t="str">
        <x:v>strict</x:v>
      </x:c>
      <x:c r="C99" s="4" t="str">
        <x:v>A supercomputer sustains approximately 20 petaflops on a named numerical benchmark; this is the explicit hardware-throughput proxy.</x:v>
      </x:c>
      <x:c r="D99" s="4" t="n">
        <x:v>2009</x:v>
      </x:c>
      <x:c r="E99" s="4" t="str">
        <x:v>NOT_FULFILLED</x:v>
      </x:c>
      <x:c r="F99" s="4" t="str">
        <x:v>FULFILLED</x:v>
      </x:c>
      <x:c r="G99" s="4" t="str">
        <x:v>LATE</x:v>
      </x:c>
      <x:c r="H99" s="4" t="n">
        <x:v>1</x:v>
      </x:c>
      <x:c r="I99" s="4" t="str">
        <x:v>The November 2009 TOP500 leader was under 2 petaflops on LINPACK, below the stated 20-petaflop target. Tianhe-2 exceeded 20 petaflops on LINPACK in June 2013. The numerical forecast was late, not unscorable merely because brain equivalence is debated.</x:v>
      </x:c>
      <x:c r="J99" s="4" t="str"/>
      <x:c r="K99" s="4" t="str">
        <x:v>REFERENCE_READING</x:v>
      </x:c>
      <x:c r="L99" s="4" t="str">
        <x:v>https://www.top500.org/lists/top500/2009/11/
https://www.top500.org/lists/top500/2012/11/
https://www.top500.org/lists/top500/2013/06/highlights/</x:v>
      </x:c>
    </x:row>
    <x:row r="100" ht="150" customHeight="1">
      <x:c r="A100" s="4" t="str">
        <x:v>K033</x:v>
      </x:c>
      <x:c r="B100" s="4" t="str">
        <x:v>broader</x:v>
      </x:c>
      <x:c r="C100" s="4" t="str">
        <x:v>Use advertised peak arithmetic rather than sustained LINPACK.</x:v>
      </x:c>
      <x:c r="D100" s="4" t="n">
        <x:v>2009</x:v>
      </x:c>
      <x:c r="E100" s="4" t="str">
        <x:v>NOT_FULFILLED</x:v>
      </x:c>
      <x:c r="F100" s="4" t="str">
        <x:v>FULFILLED</x:v>
      </x:c>
      <x:c r="G100" s="4" t="str">
        <x:v>LATE</x:v>
      </x:c>
      <x:c r="H100" s="4" t="n">
        <x:v>1</x:v>
      </x:c>
      <x:c r="I100" s="4" t="str">
        <x:v>Titan’s peak exceeded 20 petaflops in 2012, producing a three-year rather than four-year delay.</x:v>
      </x:c>
      <x:c r="J100" s="4" t="str">
        <x:v>Sustained versus theoretical peak throughput</x:v>
      </x:c>
      <x:c r="K100" s="4" t="str">
        <x:v>ALTERNATIVE_READING</x:v>
      </x:c>
      <x:c r="L100" s="4" t="str">
        <x:v>https://www.top500.org/lists/top500/2009/11/
https://www.top500.org/lists/top500/2012/11/
https://www.top500.org/lists/top500/2013/06/highlights/</x:v>
      </x:c>
    </x:row>
    <x:row r="101" ht="150" customHeight="1">
      <x:c r="A101" s="4" t="str">
        <x:v>K034</x:v>
      </x:c>
      <x:c r="B101" s="4" t="str">
        <x:v>reference</x:v>
      </x:c>
      <x:c r="C101" s="4" t="str">
        <x:v>A circa-$1,000 consumer budget, inflation-adjusted from 1999, buys approximately 20 petaflops of ordinary arithmetic capacity.</x:v>
      </x:c>
      <x:c r="D101" s="4" t="n">
        <x:v>2019</x:v>
      </x:c>
      <x:c r="E101" s="4" t="str">
        <x:v>NOT_FULFILLED</x:v>
      </x:c>
      <x:c r="F101" s="4" t="str">
        <x:v>NOT_FULFILLED</x:v>
      </x:c>
      <x:c r="G101" s="4" t="str">
        <x:v>WRONG</x:v>
      </x:c>
      <x:c r="H101" s="4" t="n">
        <x:v>1</x:v>
      </x:c>
      <x:c r="I101" s="4" t="str">
        <x:v>Consumer hardware in 2019 was orders of magnitude below 20 petaflops in conventional FP32 throughput. Current checked consumer GPU specifications remain far short on that basis. Inflation adjustment and GPU-only accounting do not rescue the order-of-magnitude mismatch.</x:v>
      </x:c>
      <x:c r="J101" s="4" t="str"/>
      <x:c r="K101" s="4" t="str">
        <x:v>REFERENCE_READING</x:v>
      </x:c>
      <x:c r="L101" s="4" t="str">
        <x:v>https://www.nvidia.com/en-us/geforce/news/introducing-rtx-30-series-graphics-cards/
https://www.nvidia.com/en-us/geforce/graphics-cards/50-series/rtx-5080/
https://investor.nvidia.com/news/press-release-details/2025/NVIDIA-Blackwell-GeForce-RTX-50-Series-Opens-New-World-of-AI-Computer-Graphics/default.aspx</x:v>
      </x:c>
    </x:row>
    <x:row r="102" ht="150" customHeight="1">
      <x:c r="A102" s="4" t="str">
        <x:v>K034</x:v>
      </x:c>
      <x:c r="B102" s="4" t="str">
        <x:v>strict</x:v>
      </x:c>
      <x:c r="C102" s="4" t="str">
        <x:v>A circa-$1,000 consumer budget, inflation-adjusted from 1999, buys approximately 20 petaflops of ordinary arithmetic capacity.</x:v>
      </x:c>
      <x:c r="D102" s="4" t="n">
        <x:v>2019</x:v>
      </x:c>
      <x:c r="E102" s="4" t="str">
        <x:v>NOT_FULFILLED</x:v>
      </x:c>
      <x:c r="F102" s="4" t="str">
        <x:v>NOT_FULFILLED</x:v>
      </x:c>
      <x:c r="G102" s="4" t="str">
        <x:v>WRONG</x:v>
      </x:c>
      <x:c r="H102" s="4" t="n">
        <x:v>1</x:v>
      </x:c>
      <x:c r="I102" s="4" t="str">
        <x:v>Consumer hardware in 2019 was orders of magnitude below 20 petaflops in conventional FP32 throughput. Current checked consumer GPU specifications remain far short on that basis. Inflation adjustment and GPU-only accounting do not rescue the order-of-magnitude mismatch.</x:v>
      </x:c>
      <x:c r="J102" s="4" t="str"/>
      <x:c r="K102" s="4" t="str">
        <x:v>REFERENCE_READING</x:v>
      </x:c>
      <x:c r="L102" s="4" t="str">
        <x:v>https://www.nvidia.com/en-us/geforce/news/introducing-rtx-30-series-graphics-cards/
https://www.nvidia.com/en-us/geforce/graphics-cards/50-series/rtx-5080/
https://investor.nvidia.com/news/press-release-details/2025/NVIDIA-Blackwell-GeForce-RTX-50-Series-Opens-New-World-of-AI-Computer-Graphics/default.aspx</x:v>
      </x:c>
    </x:row>
    <x:row r="103" ht="150" customHeight="1">
      <x:c r="A103" s="4" t="str">
        <x:v>K034</x:v>
      </x:c>
      <x:c r="B103" s="4" t="str">
        <x:v>broader</x:v>
      </x:c>
      <x:c r="C103" s="4" t="str">
        <x:v>A circa-$1,000 consumer budget, inflation-adjusted from 1999, buys approximately 20 petaflops of ordinary arithmetic capacity.</x:v>
      </x:c>
      <x:c r="D103" s="4" t="n">
        <x:v>2019</x:v>
      </x:c>
      <x:c r="E103" s="4" t="str">
        <x:v>NOT_FULFILLED</x:v>
      </x:c>
      <x:c r="F103" s="4" t="str">
        <x:v>NOT_FULFILLED</x:v>
      </x:c>
      <x:c r="G103" s="4" t="str">
        <x:v>WRONG</x:v>
      </x:c>
      <x:c r="H103" s="4" t="n">
        <x:v>1</x:v>
      </x:c>
      <x:c r="I103" s="4" t="str">
        <x:v>Consumer hardware in 2019 was orders of magnitude below 20 petaflops in conventional FP32 throughput. Current checked consumer GPU specifications remain far short on that basis. Inflation adjustment and GPU-only accounting do not rescue the order-of-magnitude mismatch.</x:v>
      </x:c>
      <x:c r="J103" s="4" t="str"/>
      <x:c r="K103" s="4" t="str">
        <x:v>REFERENCE_READING</x:v>
      </x:c>
      <x:c r="L103" s="4" t="str">
        <x:v>https://www.nvidia.com/en-us/geforce/news/introducing-rtx-30-series-graphics-cards/
https://www.nvidia.com/en-us/geforce/graphics-cards/50-series/rtx-5080/
https://investor.nvidia.com/news/press-release-details/2025/NVIDIA-Blackwell-GeForce-RTX-50-Series-Opens-New-World-of-AI-Computer-Graphics/default.aspx</x:v>
      </x:c>
    </x:row>
    <x:row r="104" ht="150" customHeight="1">
      <x:c r="A104" s="4" t="str">
        <x:v>K035</x:v>
      </x:c>
      <x:c r="B104" s="4" t="str">
        <x:v>reference</x:v>
      </x:c>
      <x:c r="C104" s="4" t="str">
        <x:v>A $1,000-in-1999-dollars unit supplies approximately 2×10^19 calculations/second.</x:v>
      </x:c>
      <x:c r="D104" s="4" t="n">
        <x:v>2029</x:v>
      </x:c>
      <x:c r="E104" s="4" t="str">
        <x:v>NOT_DUE</x:v>
      </x:c>
      <x:c r="F104" s="4" t="str">
        <x:v>NOT_FULFILLED</x:v>
      </x:c>
      <x:c r="G104" s="4" t="str">
        <x:v>PENDING</x:v>
      </x:c>
      <x:c r="H104" s="4" t="n">
        <x:v>0</x:v>
      </x:c>
      <x:c r="I104" s="4" t="str">
        <x:v>The 2029 forecast has not matured. Checked consumer hardware does not currently reach the stated arithmetic scale. This is pending, not failed in 2026.</x:v>
      </x:c>
      <x:c r="J104" s="4" t="str"/>
      <x:c r="K104" s="4" t="str">
        <x:v>REFERENCE_READING</x:v>
      </x:c>
      <x:c r="L104" s="4" t="str">
        <x:v>https://www.nvidia.com/en-us/geforce/graphics-cards/50-series/rtx-5080/
https://investor.nvidia.com/news/press-release-details/2025/NVIDIA-Blackwell-GeForce-RTX-50-Series-Opens-New-World-of-AI-Computer-Graphics/default.aspx</x:v>
      </x:c>
    </x:row>
    <x:row r="105" ht="150" customHeight="1">
      <x:c r="A105" s="4" t="str">
        <x:v>K035</x:v>
      </x:c>
      <x:c r="B105" s="4" t="str">
        <x:v>strict</x:v>
      </x:c>
      <x:c r="C105" s="4" t="str">
        <x:v>A $1,000-in-1999-dollars unit supplies approximately 2×10^19 calculations/second.</x:v>
      </x:c>
      <x:c r="D105" s="4" t="n">
        <x:v>2029</x:v>
      </x:c>
      <x:c r="E105" s="4" t="str">
        <x:v>NOT_DUE</x:v>
      </x:c>
      <x:c r="F105" s="4" t="str">
        <x:v>NOT_FULFILLED</x:v>
      </x:c>
      <x:c r="G105" s="4" t="str">
        <x:v>PENDING</x:v>
      </x:c>
      <x:c r="H105" s="4" t="n">
        <x:v>0</x:v>
      </x:c>
      <x:c r="I105" s="4" t="str">
        <x:v>The 2029 forecast has not matured. Checked consumer hardware does not currently reach the stated arithmetic scale. This is pending, not failed in 2026.</x:v>
      </x:c>
      <x:c r="J105" s="4" t="str"/>
      <x:c r="K105" s="4" t="str">
        <x:v>REFERENCE_READING</x:v>
      </x:c>
      <x:c r="L105" s="4" t="str">
        <x:v>https://www.nvidia.com/en-us/geforce/graphics-cards/50-series/rtx-5080/
https://investor.nvidia.com/news/press-release-details/2025/NVIDIA-Blackwell-GeForce-RTX-50-Series-Opens-New-World-of-AI-Computer-Graphics/default.aspx</x:v>
      </x:c>
    </x:row>
    <x:row r="106" ht="150" customHeight="1">
      <x:c r="A106" s="4" t="str">
        <x:v>K035</x:v>
      </x:c>
      <x:c r="B106" s="4" t="str">
        <x:v>broader</x:v>
      </x:c>
      <x:c r="C106" s="4" t="str">
        <x:v>A $1,000-in-1999-dollars unit supplies approximately 2×10^19 calculations/second.</x:v>
      </x:c>
      <x:c r="D106" s="4" t="n">
        <x:v>2029</x:v>
      </x:c>
      <x:c r="E106" s="4" t="str">
        <x:v>NOT_DUE</x:v>
      </x:c>
      <x:c r="F106" s="4" t="str">
        <x:v>NOT_FULFILLED</x:v>
      </x:c>
      <x:c r="G106" s="4" t="str">
        <x:v>PENDING</x:v>
      </x:c>
      <x:c r="H106" s="4" t="n">
        <x:v>0</x:v>
      </x:c>
      <x:c r="I106" s="4" t="str">
        <x:v>The 2029 forecast has not matured. Checked consumer hardware does not currently reach the stated arithmetic scale. This is pending, not failed in 2026.</x:v>
      </x:c>
      <x:c r="J106" s="4" t="str"/>
      <x:c r="K106" s="4" t="str">
        <x:v>REFERENCE_READING</x:v>
      </x:c>
      <x:c r="L106" s="4" t="str">
        <x:v>https://www.nvidia.com/en-us/geforce/graphics-cards/50-series/rtx-5080/
https://investor.nvidia.com/news/press-release-details/2025/NVIDIA-Blackwell-GeForce-RTX-50-Series-Opens-New-World-of-AI-Computer-Graphics/default.aspx</x:v>
      </x:c>
    </x:row>
    <x:row r="107" ht="150" customHeight="1">
      <x:c r="A107" s="4" t="str">
        <x:v>K036</x:v>
      </x:c>
      <x:c r="B107" s="4" t="str">
        <x:v>reference</x:v>
      </x:c>
      <x:c r="C107" s="4" t="str">
        <x:v>Effective functional models cover all major human brain regions and their integrated operation, not just a wiring atlas.</x:v>
      </x:c>
      <x:c r="D107" s="4" t="n">
        <x:v>2025</x:v>
      </x:c>
      <x:c r="E107" s="4" t="str">
        <x:v>PARTLY_FULFILLED</x:v>
      </x:c>
      <x:c r="F107" s="4" t="str">
        <x:v>PARTLY_FULFILLED</x:v>
      </x:c>
      <x:c r="G107" s="4" t="str">
        <x:v>PARTIAL</x:v>
      </x:c>
      <x:c r="H107" s="4" t="n">
        <x:v>1</x:v>
      </x:c>
      <x:c r="I107" s="4" t="str">
        <x:v>Using 2025 as the explicit midpoint of “mid-2020s,” major regional/animal mapping existed but not this complete human functional model. The human cortical parcellation, mouse atlas and fly connectome are genuine partial achievements. They do not establish complete human emulation.</x:v>
      </x:c>
      <x:c r="J107" s="4" t="str"/>
      <x:c r="K107" s="4" t="str">
        <x:v>REFERENCE_READING</x:v>
      </x:c>
      <x:c r="L107" s="4" t="str">
        <x:v>https://www.nimh.nih.gov/news/science-updates/2023/scientists-unveil-complete-cell-map-of-a-whole-mammalian-brain
https://www.nature.com/articles/s41586-024-07686-5
https://www.nature.com/articles/nature18933</x:v>
      </x:c>
    </x:row>
    <x:row r="108" ht="150" customHeight="1">
      <x:c r="A108" s="4" t="str">
        <x:v>K036</x:v>
      </x:c>
      <x:c r="B108" s="4" t="str">
        <x:v>strict</x:v>
      </x:c>
      <x:c r="C108" s="4" t="str">
        <x:v>Same functional criterion, but allow the entire mid-2020s window through December 2026.</x:v>
      </x:c>
      <x:c r="D108" s="4" t="n">
        <x:v>2026</x:v>
      </x:c>
      <x:c r="E108" s="4" t="str">
        <x:v>NOT_DUE</x:v>
      </x:c>
      <x:c r="F108" s="4" t="str">
        <x:v>PARTLY_FULFILLED</x:v>
      </x:c>
      <x:c r="G108" s="4" t="str">
        <x:v>PENDING</x:v>
      </x:c>
      <x:c r="H108" s="4" t="n">
        <x:v>0</x:v>
      </x:c>
      <x:c r="I108" s="4" t="str">
        <x:v>At the October 2026 review the latest plausible deadline has not closed; the current outcome is still partial.</x:v>
      </x:c>
      <x:c r="J108" s="4" t="str"/>
      <x:c r="K108" s="4" t="str">
        <x:v>DEADLINE_WINDOW_SENSITIVITY</x:v>
      </x:c>
      <x:c r="L108" s="4" t="str">
        <x:v>https://www.nimh.nih.gov/news/science-updates/2023/scientists-unveil-complete-cell-map-of-a-whole-mammalian-brain
https://www.nature.com/articles/s41586-024-07686-5
https://www.nature.com/articles/nature18933</x:v>
      </x:c>
    </x:row>
    <x:row r="109" ht="150" customHeight="1">
      <x:c r="A109" s="4" t="str">
        <x:v>K036</x:v>
      </x:c>
      <x:c r="B109" s="4" t="str">
        <x:v>broader</x:v>
      </x:c>
      <x:c r="C109" s="4" t="str">
        <x:v>Effective functional models cover all major human brain regions and their integrated operation, not just a wiring atlas.</x:v>
      </x:c>
      <x:c r="D109" s="4" t="n">
        <x:v>2025</x:v>
      </x:c>
      <x:c r="E109" s="4" t="str">
        <x:v>PARTLY_FULFILLED</x:v>
      </x:c>
      <x:c r="F109" s="4" t="str">
        <x:v>PARTLY_FULFILLED</x:v>
      </x:c>
      <x:c r="G109" s="4" t="str">
        <x:v>PARTIAL</x:v>
      </x:c>
      <x:c r="H109" s="4" t="n">
        <x:v>1</x:v>
      </x:c>
      <x:c r="I109" s="4" t="str">
        <x:v>Using 2025 as the explicit midpoint of “mid-2020s,” major regional/animal mapping existed but not this complete human functional model. The human cortical parcellation, mouse atlas and fly connectome are genuine partial achievements. They do not establish complete human emulation.</x:v>
      </x:c>
      <x:c r="J109" s="4" t="str"/>
      <x:c r="K109" s="4" t="str">
        <x:v>REFERENCE_READING</x:v>
      </x:c>
      <x:c r="L109" s="4" t="str">
        <x:v>https://www.nimh.nih.gov/news/science-updates/2023/scientists-unveil-complete-cell-map-of-a-whole-mammalian-brain
https://www.nature.com/articles/s41586-024-07686-5
https://www.nature.com/articles/nature18933</x:v>
      </x:c>
    </x:row>
    <x:row r="110" ht="150" customHeight="1">
      <x:c r="A110" s="4" t="str">
        <x:v>K037</x:v>
      </x:c>
      <x:c r="B110" s="4" t="str">
        <x:v>reference</x:v>
      </x:c>
      <x:c r="C110" s="4" t="str">
        <x:v>Unconditional basic income operates generally across developed economies, not just a local trial.</x:v>
      </x:c>
      <x:c r="D110" s="4" t="n">
        <x:v>2033</x:v>
      </x:c>
      <x:c r="E110" s="4" t="str">
        <x:v>NOT_DUE</x:v>
      </x:c>
      <x:c r="F110" s="4" t="str">
        <x:v>PARTLY_FULFILLED</x:v>
      </x:c>
      <x:c r="G110" s="4" t="str">
        <x:v>PENDING</x:v>
      </x:c>
      <x:c r="H110" s="4" t="n">
        <x:v>0</x:v>
      </x:c>
      <x:c r="I110" s="4" t="str">
        <x:v>Early 2030s remains future; use 2033 as an explicit reference endpoint. Pilots and limited programs do not constitute the cross-economy rollout. Attribution rests on contemporaneous reporting rather than a located full primary transcript.</x:v>
      </x:c>
      <x:c r="J110" s="4" t="str"/>
      <x:c r="K110" s="4" t="str">
        <x:v>REFERENCE_READING</x:v>
      </x:c>
      <x:c r="L110" s="4" t="str">
        <x:v>https://www.axios.com/2018/04/13/ray-kurzweil-universal-basic-income-will-arrive-in-the-2030s-1523655832</x:v>
      </x:c>
    </x:row>
    <x:row r="111" ht="150" customHeight="1">
      <x:c r="A111" s="4" t="str">
        <x:v>K037</x:v>
      </x:c>
      <x:c r="B111" s="4" t="str">
        <x:v>strict</x:v>
      </x:c>
      <x:c r="C111" s="4" t="str">
        <x:v>Unconditional basic income operates generally across developed economies, not just a local trial.</x:v>
      </x:c>
      <x:c r="D111" s="4" t="n">
        <x:v>2033</x:v>
      </x:c>
      <x:c r="E111" s="4" t="str">
        <x:v>NOT_DUE</x:v>
      </x:c>
      <x:c r="F111" s="4" t="str">
        <x:v>PARTLY_FULFILLED</x:v>
      </x:c>
      <x:c r="G111" s="4" t="str">
        <x:v>PENDING</x:v>
      </x:c>
      <x:c r="H111" s="4" t="n">
        <x:v>0</x:v>
      </x:c>
      <x:c r="I111" s="4" t="str">
        <x:v>Early 2030s remains future; use 2033 as an explicit reference endpoint. Pilots and limited programs do not constitute the cross-economy rollout. Attribution rests on contemporaneous reporting rather than a located full primary transcript.</x:v>
      </x:c>
      <x:c r="J111" s="4" t="str"/>
      <x:c r="K111" s="4" t="str">
        <x:v>REFERENCE_READING</x:v>
      </x:c>
      <x:c r="L111" s="4" t="str">
        <x:v>https://www.axios.com/2018/04/13/ray-kurzweil-universal-basic-income-will-arrive-in-the-2030s-1523655832</x:v>
      </x:c>
    </x:row>
    <x:row r="112" ht="150" customHeight="1">
      <x:c r="A112" s="4" t="str">
        <x:v>K037</x:v>
      </x:c>
      <x:c r="B112" s="4" t="str">
        <x:v>broader</x:v>
      </x:c>
      <x:c r="C112" s="4" t="str">
        <x:v>Unconditional basic income operates generally across developed economies, not just a local trial.</x:v>
      </x:c>
      <x:c r="D112" s="4" t="n">
        <x:v>2033</x:v>
      </x:c>
      <x:c r="E112" s="4" t="str">
        <x:v>NOT_DUE</x:v>
      </x:c>
      <x:c r="F112" s="4" t="str">
        <x:v>PARTLY_FULFILLED</x:v>
      </x:c>
      <x:c r="G112" s="4" t="str">
        <x:v>PENDING</x:v>
      </x:c>
      <x:c r="H112" s="4" t="n">
        <x:v>0</x:v>
      </x:c>
      <x:c r="I112" s="4" t="str">
        <x:v>Early 2030s remains future; use 2033 as an explicit reference endpoint. Pilots and limited programs do not constitute the cross-economy rollout. Attribution rests on contemporaneous reporting rather than a located full primary transcript.</x:v>
      </x:c>
      <x:c r="J112" s="4" t="str"/>
      <x:c r="K112" s="4" t="str">
        <x:v>REFERENCE_READING</x:v>
      </x:c>
      <x:c r="L112" s="4" t="str">
        <x:v>https://www.axios.com/2018/04/13/ray-kurzweil-universal-basic-income-will-arrive-in-the-2030s-1523655832</x:v>
      </x:c>
    </x:row>
    <x:row r="113" ht="150" customHeight="1">
      <x:c r="A113" s="4" t="str">
        <x:v>K038</x:v>
      </x:c>
      <x:c r="B113" s="4" t="str">
        <x:v>reference</x:v>
      </x:c>
      <x:c r="C113" s="4" t="str">
        <x:v>Basic income is implemented worldwide, not merely discussed or piloted.</x:v>
      </x:c>
      <x:c r="D113" s="4" t="n">
        <x:v>2039</x:v>
      </x:c>
      <x:c r="E113" s="4" t="str">
        <x:v>NOT_DUE</x:v>
      </x:c>
      <x:c r="F113" s="4" t="str">
        <x:v>PARTLY_FULFILLED</x:v>
      </x:c>
      <x:c r="G113" s="4" t="str">
        <x:v>PENDING</x:v>
      </x:c>
      <x:c r="H113" s="4" t="n">
        <x:v>0</x:v>
      </x:c>
      <x:c r="I113" s="4" t="str">
        <x:v>The late-2030s/worldwide forecast is pending. The present evidence supports experimentation, not a worldwide income floor.</x:v>
      </x:c>
      <x:c r="J113" s="4" t="str"/>
      <x:c r="K113" s="4" t="str">
        <x:v>REFERENCE_READING</x:v>
      </x:c>
      <x:c r="L113" s="4" t="str">
        <x:v>https://www.axios.com/2018/04/13/ray-kurzweil-universal-basic-income-will-arrive-in-the-2030s-1523655832</x:v>
      </x:c>
    </x:row>
    <x:row r="114" ht="150" customHeight="1">
      <x:c r="A114" s="4" t="str">
        <x:v>K038</x:v>
      </x:c>
      <x:c r="B114" s="4" t="str">
        <x:v>strict</x:v>
      </x:c>
      <x:c r="C114" s="4" t="str">
        <x:v>Basic income is implemented worldwide, not merely discussed or piloted.</x:v>
      </x:c>
      <x:c r="D114" s="4" t="n">
        <x:v>2039</x:v>
      </x:c>
      <x:c r="E114" s="4" t="str">
        <x:v>NOT_DUE</x:v>
      </x:c>
      <x:c r="F114" s="4" t="str">
        <x:v>PARTLY_FULFILLED</x:v>
      </x:c>
      <x:c r="G114" s="4" t="str">
        <x:v>PENDING</x:v>
      </x:c>
      <x:c r="H114" s="4" t="n">
        <x:v>0</x:v>
      </x:c>
      <x:c r="I114" s="4" t="str">
        <x:v>The late-2030s/worldwide forecast is pending. The present evidence supports experimentation, not a worldwide income floor.</x:v>
      </x:c>
      <x:c r="J114" s="4" t="str"/>
      <x:c r="K114" s="4" t="str">
        <x:v>REFERENCE_READING</x:v>
      </x:c>
      <x:c r="L114" s="4" t="str">
        <x:v>https://www.axios.com/2018/04/13/ray-kurzweil-universal-basic-income-will-arrive-in-the-2030s-1523655832</x:v>
      </x:c>
    </x:row>
    <x:row r="115" ht="150" customHeight="1">
      <x:c r="A115" s="4" t="str">
        <x:v>K038</x:v>
      </x:c>
      <x:c r="B115" s="4" t="str">
        <x:v>broader</x:v>
      </x:c>
      <x:c r="C115" s="4" t="str">
        <x:v>Basic income is implemented worldwide, not merely discussed or piloted.</x:v>
      </x:c>
      <x:c r="D115" s="4" t="n">
        <x:v>2039</x:v>
      </x:c>
      <x:c r="E115" s="4" t="str">
        <x:v>NOT_DUE</x:v>
      </x:c>
      <x:c r="F115" s="4" t="str">
        <x:v>PARTLY_FULFILLED</x:v>
      </x:c>
      <x:c r="G115" s="4" t="str">
        <x:v>PENDING</x:v>
      </x:c>
      <x:c r="H115" s="4" t="n">
        <x:v>0</x:v>
      </x:c>
      <x:c r="I115" s="4" t="str">
        <x:v>The late-2030s/worldwide forecast is pending. The present evidence supports experimentation, not a worldwide income floor.</x:v>
      </x:c>
      <x:c r="J115" s="4" t="str"/>
      <x:c r="K115" s="4" t="str">
        <x:v>REFERENCE_READING</x:v>
      </x:c>
      <x:c r="L115" s="4" t="str">
        <x:v>https://www.axios.com/2018/04/13/ray-kurzweil-universal-basic-income-will-arrive-in-the-2030s-1523655832</x:v>
      </x:c>
    </x:row>
    <x:row r="116" ht="150" customHeight="1">
      <x:c r="A116" s="4" t="str">
        <x:v>K039</x:v>
      </x:c>
      <x:c r="B116" s="4" t="str">
        <x:v>reference</x:v>
      </x:c>
      <x:c r="C116" s="4" t="str">
        <x:v>Electronic documents support routine nonlinear navigation, linking and interaction.</x:v>
      </x:c>
      <x:c r="D116" s="4"/>
      <x:c r="E116" s="4" t="str">
        <x:v>UNDATED</x:v>
      </x:c>
      <x:c r="F116" s="4" t="str">
        <x:v>FULFILLED</x:v>
      </x:c>
      <x:c r="G116" s="4" t="str">
        <x:v>CORRECT</x:v>
      </x:c>
      <x:c r="H116" s="4" t="n">
        <x:v>0</x:v>
      </x:c>
      <x:c r="I116" s="4" t="str">
        <x:v>No precise deadline is established for this version; do not manufacture an on-time rate. The Web plainly fulfills the functional claim. CERN’s history establishes the 1990s realization; attribution novelty is distinct from whether the outcome occurred.</x:v>
      </x:c>
      <x:c r="J116" s="4" t="str"/>
      <x:c r="K116" s="4" t="str">
        <x:v>REFERENCE_READING</x:v>
      </x:c>
      <x:c r="L116" s="4" t="str">
        <x:v>https://home.cern/science/computing/the-birth-of-the-web/</x:v>
      </x:c>
    </x:row>
    <x:row r="117" ht="150" customHeight="1">
      <x:c r="A117" s="4" t="str">
        <x:v>K039</x:v>
      </x:c>
      <x:c r="B117" s="4" t="str">
        <x:v>strict</x:v>
      </x:c>
      <x:c r="C117" s="4" t="str">
        <x:v>Electronic documents support routine nonlinear navigation, linking and interaction.</x:v>
      </x:c>
      <x:c r="D117" s="4"/>
      <x:c r="E117" s="4" t="str">
        <x:v>UNDATED</x:v>
      </x:c>
      <x:c r="F117" s="4" t="str">
        <x:v>FULFILLED</x:v>
      </x:c>
      <x:c r="G117" s="4" t="str">
        <x:v>CORRECT</x:v>
      </x:c>
      <x:c r="H117" s="4" t="n">
        <x:v>0</x:v>
      </x:c>
      <x:c r="I117" s="4" t="str">
        <x:v>No precise deadline is established for this version; do not manufacture an on-time rate. The Web plainly fulfills the functional claim. CERN’s history establishes the 1990s realization; attribution novelty is distinct from whether the outcome occurred.</x:v>
      </x:c>
      <x:c r="J117" s="4" t="str"/>
      <x:c r="K117" s="4" t="str">
        <x:v>REFERENCE_READING</x:v>
      </x:c>
      <x:c r="L117" s="4" t="str">
        <x:v>https://home.cern/science/computing/the-birth-of-the-web/</x:v>
      </x:c>
    </x:row>
    <x:row r="118" ht="150" customHeight="1">
      <x:c r="A118" s="4" t="str">
        <x:v>K039</x:v>
      </x:c>
      <x:c r="B118" s="4" t="str">
        <x:v>broader</x:v>
      </x:c>
      <x:c r="C118" s="4" t="str">
        <x:v>Electronic documents support routine nonlinear navigation, linking and interaction.</x:v>
      </x:c>
      <x:c r="D118" s="4"/>
      <x:c r="E118" s="4" t="str">
        <x:v>UNDATED</x:v>
      </x:c>
      <x:c r="F118" s="4" t="str">
        <x:v>FULFILLED</x:v>
      </x:c>
      <x:c r="G118" s="4" t="str">
        <x:v>CORRECT</x:v>
      </x:c>
      <x:c r="H118" s="4" t="n">
        <x:v>0</x:v>
      </x:c>
      <x:c r="I118" s="4" t="str">
        <x:v>No precise deadline is established for this version; do not manufacture an on-time rate. The Web plainly fulfills the functional claim. CERN’s history establishes the 1990s realization; attribution novelty is distinct from whether the outcome occurred.</x:v>
      </x:c>
      <x:c r="J118" s="4" t="str"/>
      <x:c r="K118" s="4" t="str">
        <x:v>REFERENCE_READING</x:v>
      </x:c>
      <x:c r="L118" s="4" t="str">
        <x:v>https://home.cern/science/computing/the-birth-of-the-web/</x:v>
      </x:c>
    </x:row>
    <x:row r="119" ht="150" customHeight="1">
      <x:c r="A119" s="4" t="str">
        <x:v>K040</x:v>
      </x:c>
      <x:c r="B119" s="4" t="str">
        <x:v>reference</x:v>
      </x:c>
      <x:c r="C119" s="4" t="str">
        <x:v>Information technology makes authoritarian information control harder while also enabling governments to respond.</x:v>
      </x:c>
      <x:c r="D119" s="4"/>
      <x:c r="E119" s="4" t="str">
        <x:v>UNDATED</x:v>
      </x:c>
      <x:c r="F119" s="4" t="str">
        <x:v>PARTLY_FULFILLED</x:v>
      </x:c>
      <x:c r="G119" s="4" t="str">
        <x:v>PARTIAL</x:v>
      </x:c>
      <x:c r="H119" s="4" t="n">
        <x:v>0</x:v>
      </x:c>
      <x:c r="I119" s="4" t="str">
        <x:v>This is a conditional, undated societal forecast; no invented 1991 deadline is used. Global information access creates real pressures, but digital repression and persistent authoritarian control prevent a simple democracy-caused-by-technology verdict.</x:v>
      </x:c>
      <x:c r="J119" s="4" t="str"/>
      <x:c r="K119" s="4" t="str">
        <x:v>REFERENCE_READING</x:v>
      </x:c>
      <x:c r="L119" s="4" t="str">
        <x:v>https://freedomhouse.org/article/new-report-persistent-authoritarian-repression-and-backsliding-democracies-drive-15th</x:v>
      </x:c>
    </x:row>
    <x:row r="120" ht="150" customHeight="1">
      <x:c r="A120" s="4" t="str">
        <x:v>K040</x:v>
      </x:c>
      <x:c r="B120" s="4" t="str">
        <x:v>strict</x:v>
      </x:c>
      <x:c r="C120" s="4" t="str">
        <x:v>Information technology makes authoritarian information control harder while also enabling governments to respond.</x:v>
      </x:c>
      <x:c r="D120" s="4"/>
      <x:c r="E120" s="4" t="str">
        <x:v>UNDATED</x:v>
      </x:c>
      <x:c r="F120" s="4" t="str">
        <x:v>PARTLY_FULFILLED</x:v>
      </x:c>
      <x:c r="G120" s="4" t="str">
        <x:v>PARTIAL</x:v>
      </x:c>
      <x:c r="H120" s="4" t="n">
        <x:v>0</x:v>
      </x:c>
      <x:c r="I120" s="4" t="str">
        <x:v>This is a conditional, undated societal forecast; no invented 1991 deadline is used. Global information access creates real pressures, but digital repression and persistent authoritarian control prevent a simple democracy-caused-by-technology verdict.</x:v>
      </x:c>
      <x:c r="J120" s="4" t="str"/>
      <x:c r="K120" s="4" t="str">
        <x:v>REFERENCE_READING</x:v>
      </x:c>
      <x:c r="L120" s="4" t="str">
        <x:v>https://freedomhouse.org/article/new-report-persistent-authoritarian-repression-and-backsliding-democracies-drive-15th</x:v>
      </x:c>
    </x:row>
    <x:row r="121" ht="150" customHeight="1">
      <x:c r="A121" s="4" t="str">
        <x:v>K040</x:v>
      </x:c>
      <x:c r="B121" s="4" t="str">
        <x:v>broader</x:v>
      </x:c>
      <x:c r="C121" s="4" t="str">
        <x:v>Information technology makes authoritarian information control harder while also enabling governments to respond.</x:v>
      </x:c>
      <x:c r="D121" s="4"/>
      <x:c r="E121" s="4" t="str">
        <x:v>UNDATED</x:v>
      </x:c>
      <x:c r="F121" s="4" t="str">
        <x:v>PARTLY_FULFILLED</x:v>
      </x:c>
      <x:c r="G121" s="4" t="str">
        <x:v>PARTIAL</x:v>
      </x:c>
      <x:c r="H121" s="4" t="n">
        <x:v>0</x:v>
      </x:c>
      <x:c r="I121" s="4" t="str">
        <x:v>This is a conditional, undated societal forecast; no invented 1991 deadline is used. Global information access creates real pressures, but digital repression and persistent authoritarian control prevent a simple democracy-caused-by-technology verdict.</x:v>
      </x:c>
      <x:c r="J121" s="4" t="str"/>
      <x:c r="K121" s="4" t="str">
        <x:v>REFERENCE_READING</x:v>
      </x:c>
      <x:c r="L121" s="4" t="str">
        <x:v>https://freedomhouse.org/article/new-report-persistent-authoritarian-repression-and-backsliding-democracies-drive-15th</x:v>
      </x:c>
    </x:row>
    <x:row r="122" ht="150" customHeight="1">
      <x:c r="A122" s="4" t="str">
        <x:v>K041</x:v>
      </x:c>
      <x:c r="B122" s="4" t="str">
        <x:v>reference</x:v>
      </x:c>
      <x:c r="C122" s="4" t="str">
        <x:v>Common wearable monitors identify selected acute and chronic problems and trigger useful advice or intervention pathways.</x:v>
      </x:c>
      <x:c r="D122" s="4" t="n">
        <x:v>2019</x:v>
      </x:c>
      <x:c r="E122" s="4" t="str">
        <x:v>FULFILLED</x:v>
      </x:c>
      <x:c r="F122" s="4" t="str">
        <x:v>FULFILLED</x:v>
      </x:c>
      <x:c r="G122" s="4" t="str">
        <x:v>CORRECT</x:v>
      </x:c>
      <x:c r="H122" s="4" t="n">
        <x:v>1</x:v>
      </x:c>
      <x:c r="I122" s="4" t="str">
        <x:v>By late 2018 Apple Watch combined ECG/AFib classification, hard-fall detection and emergency calling; the 2019 wearable survey supports common adoption. Those capabilities satisfy a reasonable targeted-condition reading. The forecast did not demand diagnosis of every disease or removal of physicians.</x:v>
      </x:c>
      <x:c r="J122" s="4" t="str"/>
      <x:c r="K122" s="4" t="str">
        <x:v>REFERENCE_READING</x:v>
      </x:c>
      <x:c r="L122" s="4" t="str">
        <x:v>https://www.apple.com/newsroom/2018/12/ecg-app-and-irregular-heart-rhythm-notification-available-today-on-apple-watch/
https://www.apple.com/newsroom/2018/09/redesigned-apple-watch-series-4-revolutionizes-communication-fitness-and-health/
https://www.pewresearch.org/short-reads/2020/01/09/about-one-in-five-americans-use-a-smart-watch-or-fitness-tracker/</x:v>
      </x:c>
    </x:row>
    <x:row r="123" ht="150" customHeight="1">
      <x:c r="A123" s="4" t="str">
        <x:v>K041</x:v>
      </x:c>
      <x:c r="B123" s="4" t="str">
        <x:v>strict</x:v>
      </x:c>
      <x:c r="C123" s="4" t="str">
        <x:v>Common wearable monitors identify selected acute and chronic problems and trigger useful advice or intervention pathways.</x:v>
      </x:c>
      <x:c r="D123" s="4" t="n">
        <x:v>2019</x:v>
      </x:c>
      <x:c r="E123" s="4" t="str">
        <x:v>FULFILLED</x:v>
      </x:c>
      <x:c r="F123" s="4" t="str">
        <x:v>FULFILLED</x:v>
      </x:c>
      <x:c r="G123" s="4" t="str">
        <x:v>CORRECT</x:v>
      </x:c>
      <x:c r="H123" s="4" t="n">
        <x:v>1</x:v>
      </x:c>
      <x:c r="I123" s="4" t="str">
        <x:v>By late 2018 Apple Watch combined ECG/AFib classification, hard-fall detection and emergency calling; the 2019 wearable survey supports common adoption. Those capabilities satisfy a reasonable targeted-condition reading. The forecast did not demand diagnosis of every disease or removal of physicians.</x:v>
      </x:c>
      <x:c r="J123" s="4" t="str"/>
      <x:c r="K123" s="4" t="str">
        <x:v>SAME_AS_REFERENCE</x:v>
      </x:c>
      <x:c r="L123" s="4" t="str">
        <x:v>https://www.apple.com/newsroom/2018/12/ecg-app-and-irregular-heart-rhythm-notification-available-today-on-apple-watch/
https://www.apple.com/newsroom/2018/09/redesigned-apple-watch-series-4-revolutionizes-communication-fitness-and-health/
https://www.pewresearch.org/short-reads/2020/01/09/about-one-in-five-americans-use-a-smart-watch-or-fitness-tracker/</x:v>
      </x:c>
    </x:row>
    <x:row r="124" ht="150" customHeight="1">
      <x:c r="A124" s="4" t="str">
        <x:v>K041</x:v>
      </x:c>
      <x:c r="B124" s="4" t="str">
        <x:v>broader</x:v>
      </x:c>
      <x:c r="C124" s="4" t="str">
        <x:v>Common wearable monitors identify selected acute and chronic problems and trigger useful advice or intervention pathways.</x:v>
      </x:c>
      <x:c r="D124" s="4" t="n">
        <x:v>2019</x:v>
      </x:c>
      <x:c r="E124" s="4" t="str">
        <x:v>FULFILLED</x:v>
      </x:c>
      <x:c r="F124" s="4" t="str">
        <x:v>FULFILLED</x:v>
      </x:c>
      <x:c r="G124" s="4" t="str">
        <x:v>CORRECT</x:v>
      </x:c>
      <x:c r="H124" s="4" t="n">
        <x:v>1</x:v>
      </x:c>
      <x:c r="I124" s="4" t="str">
        <x:v>By late 2018 Apple Watch combined ECG/AFib classification, hard-fall detection and emergency calling; the 2019 wearable survey supports common adoption. Those capabilities satisfy a reasonable targeted-condition reading. The forecast did not demand diagnosis of every disease or removal of physicians.</x:v>
      </x:c>
      <x:c r="J124" s="4" t="str"/>
      <x:c r="K124" s="4" t="str">
        <x:v>REFERENCE_READING</x:v>
      </x:c>
      <x:c r="L124" s="4" t="str">
        <x:v>https://www.apple.com/newsroom/2018/12/ecg-app-and-irregular-heart-rhythm-notification-available-today-on-apple-watch/
https://www.apple.com/newsroom/2018/09/redesigned-apple-watch-series-4-revolutionizes-communication-fitness-and-health/
https://www.pewresearch.org/short-reads/2020/01/09/about-one-in-five-americans-use-a-smart-watch-or-fitness-tracker/</x:v>
      </x:c>
    </x:row>
    <x:row r="125" ht="150" customHeight="1">
      <x:c r="A125" s="4" t="str">
        <x:v>K042</x:v>
      </x:c>
      <x:c r="B125" s="4" t="str">
        <x:v>reference</x:v>
      </x:c>
      <x:c r="C125" s="4" t="str">
        <x:v>Medical progress adds at least one year of remaining healthy life per calendar year for the relevant people.</x:v>
      </x:c>
      <x:c r="D125" s="4" t="n">
        <x:v>2029</x:v>
      </x:c>
      <x:c r="E125" s="4" t="str">
        <x:v>NOT_DUE</x:v>
      </x:c>
      <x:c r="F125" s="4" t="str">
        <x:v>PARTLY_FULFILLED</x:v>
      </x:c>
      <x:c r="G125" s="4" t="str">
        <x:v>PENDING</x:v>
      </x:c>
      <x:c r="H125" s="4" t="n">
        <x:v>0</x:v>
      </x:c>
      <x:c r="I125" s="4" t="str">
        <x:v>The stated 2029 date remains future. Medical gains and changing period life expectancy do not demonstrate sustained longevity escape velocity. Current progress is partial, not evidence that the threshold was crossed.</x:v>
      </x:c>
      <x:c r="J125" s="4" t="str"/>
      <x:c r="K125" s="4" t="str">
        <x:v>REFERENCE_READING</x:v>
      </x:c>
      <x:c r="L125" s="4" t="str">
        <x:v>https://www.bvp.com/atlas/ai-escape-velocity-a-conversation-with-ray-kurzweil
https://www.cdc.gov/nchs/products/databriefs/db548.htm
https://pubmed.ncbi.nlm.nih.gov/36599349/</x:v>
      </x:c>
    </x:row>
    <x:row r="126" ht="150" customHeight="1">
      <x:c r="A126" s="4" t="str">
        <x:v>K042</x:v>
      </x:c>
      <x:c r="B126" s="4" t="str">
        <x:v>strict</x:v>
      </x:c>
      <x:c r="C126" s="4" t="str">
        <x:v>Medical progress adds at least one year of remaining healthy life per calendar year for the relevant people.</x:v>
      </x:c>
      <x:c r="D126" s="4" t="n">
        <x:v>2029</x:v>
      </x:c>
      <x:c r="E126" s="4" t="str">
        <x:v>NOT_DUE</x:v>
      </x:c>
      <x:c r="F126" s="4" t="str">
        <x:v>PARTLY_FULFILLED</x:v>
      </x:c>
      <x:c r="G126" s="4" t="str">
        <x:v>PENDING</x:v>
      </x:c>
      <x:c r="H126" s="4" t="n">
        <x:v>0</x:v>
      </x:c>
      <x:c r="I126" s="4" t="str">
        <x:v>The stated 2029 date remains future. Medical gains and changing period life expectancy do not demonstrate sustained longevity escape velocity. Current progress is partial, not evidence that the threshold was crossed.</x:v>
      </x:c>
      <x:c r="J126" s="4" t="str"/>
      <x:c r="K126" s="4" t="str">
        <x:v>REFERENCE_READING</x:v>
      </x:c>
      <x:c r="L126" s="4" t="str">
        <x:v>https://www.bvp.com/atlas/ai-escape-velocity-a-conversation-with-ray-kurzweil
https://www.cdc.gov/nchs/products/databriefs/db548.htm
https://pubmed.ncbi.nlm.nih.gov/36599349/</x:v>
      </x:c>
    </x:row>
    <x:row r="127" ht="150" customHeight="1">
      <x:c r="A127" s="4" t="str">
        <x:v>K042</x:v>
      </x:c>
      <x:c r="B127" s="4" t="str">
        <x:v>broader</x:v>
      </x:c>
      <x:c r="C127" s="4" t="str">
        <x:v>Medical progress adds at least one year of remaining healthy life per calendar year for the relevant people.</x:v>
      </x:c>
      <x:c r="D127" s="4" t="n">
        <x:v>2029</x:v>
      </x:c>
      <x:c r="E127" s="4" t="str">
        <x:v>NOT_DUE</x:v>
      </x:c>
      <x:c r="F127" s="4" t="str">
        <x:v>PARTLY_FULFILLED</x:v>
      </x:c>
      <x:c r="G127" s="4" t="str">
        <x:v>PENDING</x:v>
      </x:c>
      <x:c r="H127" s="4" t="n">
        <x:v>0</x:v>
      </x:c>
      <x:c r="I127" s="4" t="str">
        <x:v>The stated 2029 date remains future. Medical gains and changing period life expectancy do not demonstrate sustained longevity escape velocity. Current progress is partial, not evidence that the threshold was crossed.</x:v>
      </x:c>
      <x:c r="J127" s="4" t="str"/>
      <x:c r="K127" s="4" t="str">
        <x:v>REFERENCE_READING</x:v>
      </x:c>
      <x:c r="L127" s="4" t="str">
        <x:v>https://www.bvp.com/atlas/ai-escape-velocity-a-conversation-with-ray-kurzweil
https://www.cdc.gov/nchs/products/databriefs/db548.htm
https://pubmed.ncbi.nlm.nih.gov/36599349/</x:v>
      </x:c>
    </x:row>
    <x:row r="128" ht="150" customHeight="1">
      <x:c r="A128" s="4" t="str">
        <x:v>K043</x:v>
      </x:c>
      <x:c r="B128" s="4" t="str">
        <x:v>reference</x:v>
      </x:c>
      <x:c r="C128" s="4" t="str">
        <x:v>A high-bandwidth direct neural connection integrates a person’s neocortex with cloud AI.</x:v>
      </x:c>
      <x:c r="D128" s="4" t="n">
        <x:v>2033</x:v>
      </x:c>
      <x:c r="E128" s="4" t="str">
        <x:v>NOT_DUE</x:v>
      </x:c>
      <x:c r="F128" s="4" t="str">
        <x:v>PARTLY_FULFILLED</x:v>
      </x:c>
      <x:c r="G128" s="4" t="str">
        <x:v>PENDING</x:v>
      </x:c>
      <x:c r="H128" s="4" t="n">
        <x:v>0</x:v>
      </x:c>
      <x:c r="I128" s="4" t="str">
        <x:v>Early 2030s is not due; the reference endpoint is 2033. Sensory-interface research is real, but phones and ordinary AI use do not satisfy a direct high-bandwidth neocortex-cloud connection.</x:v>
      </x:c>
      <x:c r="J128" s="4" t="str"/>
      <x:c r="K128" s="4" t="str">
        <x:v>REFERENCE_READING</x:v>
      </x:c>
      <x:c r="L128" s="4" t="str">
        <x:v>https://www.bvp.com/atlas/ai-escape-velocity-a-conversation-with-ray-kurzweil
https://www.fda.gov/medical-devices/cochlear-implants/what-educators-need-know</x:v>
      </x:c>
    </x:row>
    <x:row r="129" ht="150" customHeight="1">
      <x:c r="A129" s="4" t="str">
        <x:v>K043</x:v>
      </x:c>
      <x:c r="B129" s="4" t="str">
        <x:v>strict</x:v>
      </x:c>
      <x:c r="C129" s="4" t="str">
        <x:v>A high-bandwidth direct neural connection integrates a person’s neocortex with cloud AI.</x:v>
      </x:c>
      <x:c r="D129" s="4" t="n">
        <x:v>2033</x:v>
      </x:c>
      <x:c r="E129" s="4" t="str">
        <x:v>NOT_DUE</x:v>
      </x:c>
      <x:c r="F129" s="4" t="str">
        <x:v>PARTLY_FULFILLED</x:v>
      </x:c>
      <x:c r="G129" s="4" t="str">
        <x:v>PENDING</x:v>
      </x:c>
      <x:c r="H129" s="4" t="n">
        <x:v>0</x:v>
      </x:c>
      <x:c r="I129" s="4" t="str">
        <x:v>Early 2030s is not due; the reference endpoint is 2033. Sensory-interface research is real, but phones and ordinary AI use do not satisfy a direct high-bandwidth neocortex-cloud connection.</x:v>
      </x:c>
      <x:c r="J129" s="4" t="str"/>
      <x:c r="K129" s="4" t="str">
        <x:v>REFERENCE_READING</x:v>
      </x:c>
      <x:c r="L129" s="4" t="str">
        <x:v>https://www.bvp.com/atlas/ai-escape-velocity-a-conversation-with-ray-kurzweil
https://www.fda.gov/medical-devices/cochlear-implants/what-educators-need-know</x:v>
      </x:c>
    </x:row>
    <x:row r="130" ht="150" customHeight="1">
      <x:c r="A130" s="4" t="str">
        <x:v>K043</x:v>
      </x:c>
      <x:c r="B130" s="4" t="str">
        <x:v>broader</x:v>
      </x:c>
      <x:c r="C130" s="4" t="str">
        <x:v>A high-bandwidth direct neural connection integrates a person’s neocortex with cloud AI.</x:v>
      </x:c>
      <x:c r="D130" s="4" t="n">
        <x:v>2033</x:v>
      </x:c>
      <x:c r="E130" s="4" t="str">
        <x:v>NOT_DUE</x:v>
      </x:c>
      <x:c r="F130" s="4" t="str">
        <x:v>PARTLY_FULFILLED</x:v>
      </x:c>
      <x:c r="G130" s="4" t="str">
        <x:v>PENDING</x:v>
      </x:c>
      <x:c r="H130" s="4" t="n">
        <x:v>0</x:v>
      </x:c>
      <x:c r="I130" s="4" t="str">
        <x:v>Early 2030s is not due; the reference endpoint is 2033. Sensory-interface research is real, but phones and ordinary AI use do not satisfy a direct high-bandwidth neocortex-cloud connection.</x:v>
      </x:c>
      <x:c r="J130" s="4" t="str"/>
      <x:c r="K130" s="4" t="str">
        <x:v>REFERENCE_READING</x:v>
      </x:c>
      <x:c r="L130" s="4" t="str">
        <x:v>https://www.bvp.com/atlas/ai-escape-velocity-a-conversation-with-ray-kurzweil
https://www.fda.gov/medical-devices/cochlear-implants/what-educators-need-know</x:v>
      </x:c>
    </x:row>
    <x:row r="131" ht="150" customHeight="1">
      <x:c r="A131" s="4" t="str">
        <x:v>K044</x:v>
      </x:c>
      <x:c r="B131" s="4" t="str">
        <x:v>reference</x:v>
      </x:c>
      <x:c r="C131" s="4" t="str">
        <x:v>Renewable generation supplies all global electricity demand within ten years of the 2024 interview.</x:v>
      </x:c>
      <x:c r="D131" s="4" t="n">
        <x:v>2034</x:v>
      </x:c>
      <x:c r="E131" s="4" t="str">
        <x:v>NOT_DUE</x:v>
      </x:c>
      <x:c r="F131" s="4" t="str">
        <x:v>PARTLY_FULFILLED</x:v>
      </x:c>
      <x:c r="G131" s="4" t="str">
        <x:v>PENDING</x:v>
      </x:c>
      <x:c r="H131" s="4" t="n">
        <x:v>0</x:v>
      </x:c>
      <x:c r="I131" s="4" t="str">
        <x:v>The interview implies a 2034 deadline, still pending. IEA places renewables at 34% of 2025 world electricity generation. This is substantial progress but not 100%.</x:v>
      </x:c>
      <x:c r="J131" s="4" t="str"/>
      <x:c r="K131" s="4" t="str">
        <x:v>REFERENCE_READING</x:v>
      </x:c>
      <x:c r="L131" s="4" t="str">
        <x:v>https://www.bvp.com/atlas/ai-escape-velocity-a-conversation-with-ray-kurzweil
https://www.iea.org/reports/global-energy-review-2026/electricity-supply</x:v>
      </x:c>
    </x:row>
    <x:row r="132" ht="150" customHeight="1">
      <x:c r="A132" s="4" t="str">
        <x:v>K044</x:v>
      </x:c>
      <x:c r="B132" s="4" t="str">
        <x:v>strict</x:v>
      </x:c>
      <x:c r="C132" s="4" t="str">
        <x:v>Renewable generation supplies all global electricity demand within ten years of the 2024 interview.</x:v>
      </x:c>
      <x:c r="D132" s="4" t="n">
        <x:v>2034</x:v>
      </x:c>
      <x:c r="E132" s="4" t="str">
        <x:v>NOT_DUE</x:v>
      </x:c>
      <x:c r="F132" s="4" t="str">
        <x:v>PARTLY_FULFILLED</x:v>
      </x:c>
      <x:c r="G132" s="4" t="str">
        <x:v>PENDING</x:v>
      </x:c>
      <x:c r="H132" s="4" t="n">
        <x:v>0</x:v>
      </x:c>
      <x:c r="I132" s="4" t="str">
        <x:v>The interview implies a 2034 deadline, still pending. IEA places renewables at 34% of 2025 world electricity generation. This is substantial progress but not 100%.</x:v>
      </x:c>
      <x:c r="J132" s="4" t="str"/>
      <x:c r="K132" s="4" t="str">
        <x:v>REFERENCE_READING</x:v>
      </x:c>
      <x:c r="L132" s="4" t="str">
        <x:v>https://www.bvp.com/atlas/ai-escape-velocity-a-conversation-with-ray-kurzweil
https://www.iea.org/reports/global-energy-review-2026/electricity-supply</x:v>
      </x:c>
    </x:row>
    <x:row r="133" ht="150" customHeight="1">
      <x:c r="A133" s="4" t="str">
        <x:v>K044</x:v>
      </x:c>
      <x:c r="B133" s="4" t="str">
        <x:v>broader</x:v>
      </x:c>
      <x:c r="C133" s="4" t="str">
        <x:v>Renewable generation supplies all global electricity demand within ten years of the 2024 interview.</x:v>
      </x:c>
      <x:c r="D133" s="4" t="n">
        <x:v>2034</x:v>
      </x:c>
      <x:c r="E133" s="4" t="str">
        <x:v>NOT_DUE</x:v>
      </x:c>
      <x:c r="F133" s="4" t="str">
        <x:v>PARTLY_FULFILLED</x:v>
      </x:c>
      <x:c r="G133" s="4" t="str">
        <x:v>PENDING</x:v>
      </x:c>
      <x:c r="H133" s="4" t="n">
        <x:v>0</x:v>
      </x:c>
      <x:c r="I133" s="4" t="str">
        <x:v>The interview implies a 2034 deadline, still pending. IEA places renewables at 34% of 2025 world electricity generation. This is substantial progress but not 100%.</x:v>
      </x:c>
      <x:c r="J133" s="4" t="str"/>
      <x:c r="K133" s="4" t="str">
        <x:v>REFERENCE_READING</x:v>
      </x:c>
      <x:c r="L133" s="4" t="str">
        <x:v>https://www.bvp.com/atlas/ai-escape-velocity-a-conversation-with-ray-kurzweil
https://www.iea.org/reports/global-energy-review-2026/electricity-supply</x:v>
      </x:c>
    </x:row>
    <x:row r="134" ht="150" customHeight="1">
      <x:c r="A134" s="4" t="str">
        <x:v>K045</x:v>
      </x:c>
      <x:c r="B134" s="4" t="str">
        <x:v>reference</x:v>
      </x:c>
      <x:c r="C134" s="4" t="str">
        <x:v>AI achieves general human-level intellectual competence under an explicitly demanding broad-capability reading.</x:v>
      </x:c>
      <x:c r="D134" s="4" t="n">
        <x:v>2029</x:v>
      </x:c>
      <x:c r="E134" s="4" t="str">
        <x:v>NOT_DUE</x:v>
      </x:c>
      <x:c r="F134" s="4" t="str">
        <x:v>PARTLY_FULFILLED</x:v>
      </x:c>
      <x:c r="G134" s="4" t="str">
        <x:v>PENDING</x:v>
      </x:c>
      <x:c r="H134" s="4" t="n">
        <x:v>0</x:v>
      </x:c>
      <x:c r="I134" s="4" t="str">
        <x:v>The 2029 target is pending. Strong language and benchmark performance provides major partial progress; a short imitation game does not establish the complete general-intelligence claim.</x:v>
      </x:c>
      <x:c r="J134" s="4" t="str"/>
      <x:c r="K134" s="4" t="str">
        <x:v>REFERENCE_READING</x:v>
      </x:c>
      <x:c r="L134" s="4" t="str">
        <x:v>https://www.writingsbyraykurzweil.com/so-what-is-the-singularity
https://arxiv.org/abs/2503.23674</x:v>
      </x:c>
    </x:row>
    <x:row r="135" ht="150" customHeight="1">
      <x:c r="A135" s="4" t="str">
        <x:v>K045</x:v>
      </x:c>
      <x:c r="B135" s="4" t="str">
        <x:v>strict</x:v>
      </x:c>
      <x:c r="C135" s="4" t="str">
        <x:v>AI achieves general human-level intellectual competence under an explicitly demanding broad-capability reading.</x:v>
      </x:c>
      <x:c r="D135" s="4" t="n">
        <x:v>2029</x:v>
      </x:c>
      <x:c r="E135" s="4" t="str">
        <x:v>NOT_DUE</x:v>
      </x:c>
      <x:c r="F135" s="4" t="str">
        <x:v>PARTLY_FULFILLED</x:v>
      </x:c>
      <x:c r="G135" s="4" t="str">
        <x:v>PENDING</x:v>
      </x:c>
      <x:c r="H135" s="4" t="n">
        <x:v>0</x:v>
      </x:c>
      <x:c r="I135" s="4" t="str">
        <x:v>The 2029 target is pending. Strong language and benchmark performance provides major partial progress; a short imitation game does not establish the complete general-intelligence claim.</x:v>
      </x:c>
      <x:c r="J135" s="4" t="str"/>
      <x:c r="K135" s="4" t="str">
        <x:v>REFERENCE_READING</x:v>
      </x:c>
      <x:c r="L135" s="4" t="str">
        <x:v>https://www.writingsbyraykurzweil.com/so-what-is-the-singularity
https://arxiv.org/abs/2503.23674</x:v>
      </x:c>
    </x:row>
    <x:row r="136" ht="150" customHeight="1">
      <x:c r="A136" s="4" t="str">
        <x:v>K045</x:v>
      </x:c>
      <x:c r="B136" s="4" t="str">
        <x:v>broader</x:v>
      </x:c>
      <x:c r="C136" s="4" t="str">
        <x:v>Human-like conversational performance on a controlled short Turing-style test.</x:v>
      </x:c>
      <x:c r="D136" s="4" t="n">
        <x:v>2029</x:v>
      </x:c>
      <x:c r="E136" s="4" t="str">
        <x:v>NOT_DUE</x:v>
      </x:c>
      <x:c r="F136" s="4" t="str">
        <x:v>FULFILLED</x:v>
      </x:c>
      <x:c r="G136" s="4" t="str">
        <x:v>CORRECT</x:v>
      </x:c>
      <x:c r="H136" s="4" t="n">
        <x:v>0</x:v>
      </x:c>
      <x:c r="I136" s="4" t="str">
        <x:v>The 2025 study supports early success on this narrower conversational definition.</x:v>
      </x:c>
      <x:c r="J136" s="4" t="str">
        <x:v>General competence narrowed to short conversational imitation</x:v>
      </x:c>
      <x:c r="K136" s="4" t="str">
        <x:v>ALTERNATIVE_READING</x:v>
      </x:c>
      <x:c r="L136" s="4" t="str">
        <x:v>https://www.writingsbyraykurzweil.com/so-what-is-the-singularity
https://arxiv.org/abs/2503.23674</x:v>
      </x:c>
    </x:row>
    <x:row r="137" ht="150" customHeight="1">
      <x:c r="A137" s="4" t="str">
        <x:v>K046</x:v>
      </x:c>
      <x:c r="B137" s="4" t="str">
        <x:v>reference</x:v>
      </x:c>
      <x:c r="C137" s="4" t="str">
        <x:v>Computers are sold in a wide range of small personal forms, including tiny accessories and thin book-sized devices.</x:v>
      </x:c>
      <x:c r="D137" s="4" t="n">
        <x:v>2009</x:v>
      </x:c>
      <x:c r="E137" s="4" t="str">
        <x:v>FULFILLED</x:v>
      </x:c>
      <x:c r="F137" s="4" t="str">
        <x:v>FULFILLED</x:v>
      </x:c>
      <x:c r="G137" s="4" t="str">
        <x:v>CORRECT</x:v>
      </x:c>
      <x:c r="H137" s="4" t="n">
        <x:v>1</x:v>
      </x:c>
      <x:c r="I137" s="4" t="str">
        <x:v>Clip-on shuffle, smartphones, Kindle and thin laptops are concrete pre-deadline form factors. Illustrative rings/earrings need not all become equally popular for the varied-miniaturization claim to succeed.</x:v>
      </x:c>
      <x:c r="J137" s="4" t="str"/>
      <x:c r="K137" s="4" t="str">
        <x:v>REFERENCE_READING</x:v>
      </x:c>
      <x:c r="L137" s="4" t="str">
        <x:v>https://www.apple.com/newsroom/2009/03/11Apple-Announces-Incredible-New-iPod-shuffle/
https://www.apple.com/newsroom/2008/01/15Apple-Introduces-MacBook-Air-The-Worlds-Thinnest-Notebook/
https://press.aboutamazon.com/2007/11/introducing-amazon-kindle
https://www.apple.com/newsroom/2008/07/14iPhone-App-Store-Downloads-Top-10-Million-in-First-Weekend/</x:v>
      </x:c>
    </x:row>
    <x:row r="138" ht="150" customHeight="1">
      <x:c r="A138" s="4" t="str">
        <x:v>K046</x:v>
      </x:c>
      <x:c r="B138" s="4" t="str">
        <x:v>strict</x:v>
      </x:c>
      <x:c r="C138" s="4" t="str">
        <x:v>Computers are sold in a wide range of small personal forms, including tiny accessories and thin book-sized devices.</x:v>
      </x:c>
      <x:c r="D138" s="4" t="n">
        <x:v>2009</x:v>
      </x:c>
      <x:c r="E138" s="4" t="str">
        <x:v>FULFILLED</x:v>
      </x:c>
      <x:c r="F138" s="4" t="str">
        <x:v>FULFILLED</x:v>
      </x:c>
      <x:c r="G138" s="4" t="str">
        <x:v>CORRECT</x:v>
      </x:c>
      <x:c r="H138" s="4" t="n">
        <x:v>1</x:v>
      </x:c>
      <x:c r="I138" s="4" t="str">
        <x:v>Clip-on shuffle, smartphones, Kindle and thin laptops are concrete pre-deadline form factors. Illustrative rings/earrings need not all become equally popular for the varied-miniaturization claim to succeed.</x:v>
      </x:c>
      <x:c r="J138" s="4" t="str"/>
      <x:c r="K138" s="4" t="str">
        <x:v>REFERENCE_READING</x:v>
      </x:c>
      <x:c r="L138" s="4" t="str">
        <x:v>https://www.apple.com/newsroom/2009/03/11Apple-Announces-Incredible-New-iPod-shuffle/
https://www.apple.com/newsroom/2008/01/15Apple-Introduces-MacBook-Air-The-Worlds-Thinnest-Notebook/
https://press.aboutamazon.com/2007/11/introducing-amazon-kindle
https://www.apple.com/newsroom/2008/07/14iPhone-App-Store-Downloads-Top-10-Million-in-First-Weekend/</x:v>
      </x:c>
    </x:row>
    <x:row r="139" ht="150" customHeight="1">
      <x:c r="A139" s="4" t="str">
        <x:v>K046</x:v>
      </x:c>
      <x:c r="B139" s="4" t="str">
        <x:v>broader</x:v>
      </x:c>
      <x:c r="C139" s="4" t="str">
        <x:v>Computers are sold in a wide range of small personal forms, including tiny accessories and thin book-sized devices.</x:v>
      </x:c>
      <x:c r="D139" s="4" t="n">
        <x:v>2009</x:v>
      </x:c>
      <x:c r="E139" s="4" t="str">
        <x:v>FULFILLED</x:v>
      </x:c>
      <x:c r="F139" s="4" t="str">
        <x:v>FULFILLED</x:v>
      </x:c>
      <x:c r="G139" s="4" t="str">
        <x:v>CORRECT</x:v>
      </x:c>
      <x:c r="H139" s="4" t="n">
        <x:v>1</x:v>
      </x:c>
      <x:c r="I139" s="4" t="str">
        <x:v>Clip-on shuffle, smartphones, Kindle and thin laptops are concrete pre-deadline form factors. Illustrative rings/earrings need not all become equally popular for the varied-miniaturization claim to succeed.</x:v>
      </x:c>
      <x:c r="J139" s="4" t="str"/>
      <x:c r="K139" s="4" t="str">
        <x:v>REFERENCE_READING</x:v>
      </x:c>
      <x:c r="L139" s="4" t="str">
        <x:v>https://www.apple.com/newsroom/2009/03/11Apple-Announces-Incredible-New-iPod-shuffle/
https://www.apple.com/newsroom/2008/01/15Apple-Introduces-MacBook-Air-The-Worlds-Thinnest-Notebook/
https://press.aboutamazon.com/2007/11/introducing-amazon-kindle
https://www.apple.com/newsroom/2008/07/14iPhone-App-Store-Downloads-Top-10-Million-in-First-Weekend/</x:v>
      </x:c>
    </x:row>
    <x:row r="140" ht="150" customHeight="1">
      <x:c r="A140" s="4" t="str">
        <x:v>K047</x:v>
      </x:c>
      <x:c r="B140" s="4" t="str">
        <x:v>reference</x:v>
      </x:c>
      <x:c r="C140" s="4" t="str">
        <x:v>Automation removes more than half of human driving, retaining the forecast’s “most” threshold.</x:v>
      </x:c>
      <x:c r="D140" s="4" t="n">
        <x:v>2019</x:v>
      </x:c>
      <x:c r="E140" s="4" t="str">
        <x:v>NOT_FULFILLED</x:v>
      </x:c>
      <x:c r="F140" s="4" t="str">
        <x:v>NOT_FULFILLED</x:v>
      </x:c>
      <x:c r="G140" s="4" t="str">
        <x:v>WRONG</x:v>
      </x:c>
      <x:c r="H140" s="4" t="n">
        <x:v>1</x:v>
      </x:c>
      <x:c r="I140" s="4" t="str">
        <x:v>2019 road transport still relied predominantly on human drivers. Public driverless services are a real advance, but do not establish that most driving has been eliminated across the road system.</x:v>
      </x:c>
      <x:c r="J140" s="4" t="str"/>
      <x:c r="K140" s="4" t="str">
        <x:v>REFERENCE_READING</x:v>
      </x:c>
      <x:c r="L140" s="4" t="str">
        <x:v>https://www.nhtsa.gov/vehicle-safety/automated-vehicle-safety
https://waymo.com/blog/2020/10/waymo-is-opening-its-fully-driverless-service-in-phoenix/
https://www.who.int/news/item/13-12-2023-despite-notable-progress-road-safety-remains-urgent-global-issue</x:v>
      </x:c>
    </x:row>
    <x:row r="141" ht="150" customHeight="1">
      <x:c r="A141" s="4" t="str">
        <x:v>K047</x:v>
      </x:c>
      <x:c r="B141" s="4" t="str">
        <x:v>strict</x:v>
      </x:c>
      <x:c r="C141" s="4" t="str">
        <x:v>Automation removes more than half of human driving, retaining the forecast’s “most” threshold.</x:v>
      </x:c>
      <x:c r="D141" s="4" t="n">
        <x:v>2019</x:v>
      </x:c>
      <x:c r="E141" s="4" t="str">
        <x:v>NOT_FULFILLED</x:v>
      </x:c>
      <x:c r="F141" s="4" t="str">
        <x:v>NOT_FULFILLED</x:v>
      </x:c>
      <x:c r="G141" s="4" t="str">
        <x:v>WRONG</x:v>
      </x:c>
      <x:c r="H141" s="4" t="n">
        <x:v>1</x:v>
      </x:c>
      <x:c r="I141" s="4" t="str">
        <x:v>2019 road transport still relied predominantly on human drivers. Public driverless services are a real advance, but do not establish that most driving has been eliminated across the road system.</x:v>
      </x:c>
      <x:c r="J141" s="4" t="str"/>
      <x:c r="K141" s="4" t="str">
        <x:v>REFERENCE_READING</x:v>
      </x:c>
      <x:c r="L141" s="4" t="str">
        <x:v>https://www.nhtsa.gov/vehicle-safety/automated-vehicle-safety
https://waymo.com/blog/2020/10/waymo-is-opening-its-fully-driverless-service-in-phoenix/
https://www.who.int/news/item/13-12-2023-despite-notable-progress-road-safety-remains-urgent-global-issue</x:v>
      </x:c>
    </x:row>
    <x:row r="142" ht="150" customHeight="1">
      <x:c r="A142" s="4" t="str">
        <x:v>K047</x:v>
      </x:c>
      <x:c r="B142" s="4" t="str">
        <x:v>broader</x:v>
      </x:c>
      <x:c r="C142" s="4" t="str">
        <x:v>Fully driverless travel becomes a real commercial service in some cities.</x:v>
      </x:c>
      <x:c r="D142" s="4" t="n">
        <x:v>2019</x:v>
      </x:c>
      <x:c r="E142" s="4" t="str">
        <x:v>PARTLY_FULFILLED</x:v>
      </x:c>
      <x:c r="F142" s="4" t="str">
        <x:v>FULFILLED</x:v>
      </x:c>
      <x:c r="G142" s="4" t="str">
        <x:v>LATE</x:v>
      </x:c>
      <x:c r="H142" s="4" t="n">
        <x:v>1</x:v>
      </x:c>
      <x:c r="I142" s="4" t="str">
        <x:v>Public Waymo service realizes this weaker capability in 2020, without meeting the original majority threshold.</x:v>
      </x:c>
      <x:c r="J142" s="4" t="str">
        <x:v>Most driving; Smart-road architecture</x:v>
      </x:c>
      <x:c r="K142" s="4" t="str">
        <x:v>ALTERNATIVE_READING</x:v>
      </x:c>
      <x:c r="L142" s="4" t="str">
        <x:v>https://www.nhtsa.gov/vehicle-safety/automated-vehicle-safety
https://waymo.com/blog/2020/10/waymo-is-opening-its-fully-driverless-service-in-phoenix/
https://www.who.int/news/item/13-12-2023-despite-notable-progress-road-safety-remains-urgent-global-issue</x:v>
      </x:c>
    </x:row>
    <x:row r="143" ht="150" customHeight="1">
      <x:c r="A143" s="4" t="str">
        <x:v>K048</x:v>
      </x:c>
      <x:c r="B143" s="4" t="str">
        <x:v>reference</x:v>
      </x:c>
      <x:c r="C143" s="4" t="str">
        <x:v>Ordinary users have practical two-way spoken translation for many language pairs; no perfect all-language requirement.</x:v>
      </x:c>
      <x:c r="D143" s="4" t="n">
        <x:v>2009</x:v>
      </x:c>
      <x:c r="E143" s="4" t="str">
        <x:v>PARTLY_FULFILLED</x:v>
      </x:c>
      <x:c r="F143" s="4" t="str">
        <x:v>FULFILLED</x:v>
      </x:c>
      <x:c r="G143" s="4" t="str">
        <x:v>LATE</x:v>
      </x:c>
      <x:c r="H143" s="4" t="n">
        <x:v>1</x:v>
      </x:c>
      <x:c r="I143" s="4" t="str">
        <x:v>Jibbigo provided a real but limited 2009 translating-phone capability. It was not yet a routine many-pair service. Google’s 2011 and 2015 conversation/speech products establish the broader consumer capability by 2015. Accents and mistakes do not negate ordinary practical use.</x:v>
      </x:c>
      <x:c r="J143" s="4" t="str"/>
      <x:c r="K143" s="4" t="str">
        <x:v>REFERENCE_READING</x:v>
      </x:c>
      <x:c r="L143" s="4" t="str">
        <x:v>https://www.cmu.edu/homepage/society/2009/fall/how-do-you-say.shtml
https://translate.googleblog.com/2011/10/start-conversation-with-google.html
https://translate.googleblog.com/2015/</x:v>
      </x:c>
    </x:row>
    <x:row r="144" ht="150" customHeight="1">
      <x:c r="A144" s="4" t="str">
        <x:v>K048</x:v>
      </x:c>
      <x:c r="B144" s="4" t="str">
        <x:v>strict</x:v>
      </x:c>
      <x:c r="C144" s="4" t="str">
        <x:v>Speech-to-speech translation is integrated into live telephone calls for many ordinary language pairs, without requiring all languages or flawless human equivalence.</x:v>
      </x:c>
      <x:c r="D144" s="4" t="n">
        <x:v>2009</x:v>
      </x:c>
      <x:c r="E144" s="4" t="str">
        <x:v>PARTLY_FULFILLED</x:v>
      </x:c>
      <x:c r="F144" s="4" t="str">
        <x:v>FULFILLED</x:v>
      </x:c>
      <x:c r="G144" s="4" t="str">
        <x:v>LATE</x:v>
      </x:c>
      <x:c r="H144" s="4" t="n">
        <x:v>1</x:v>
      </x:c>
      <x:c r="I144" s="4" t="str">
        <x:v>The 2009 product evidence was narrower. Apple documents spoken in-call translation shipping in September 2025, and its current guide lists multiple common languages. This satisfies practical telephone integration; perfect translation was not required.</x:v>
      </x:c>
      <x:c r="J144" s="4" t="str"/>
      <x:c r="K144" s="4" t="str">
        <x:v>LITERAL_TELEPHONE_INTEGRATION</x:v>
      </x:c>
      <x:c r="L144" s="4" t="str">
        <x:v>https://www.cmu.edu/homepage/society/2009/fall/how-do-you-say.shtml
https://translate.googleblog.com/2011/10/start-conversation-with-google.html
https://www.apple.com/ci/newsroom/2025/09/new-apple-intelligence-features-are-available-today/
https://support.apple.com/is-is/guide/iphone/iph22b72984d/26/ios/26</x:v>
      </x:c>
    </x:row>
    <x:row r="145" ht="150" customHeight="1">
      <x:c r="A145" s="4" t="str">
        <x:v>K048</x:v>
      </x:c>
      <x:c r="B145" s="4" t="str">
        <x:v>broader</x:v>
      </x:c>
      <x:c r="C145" s="4" t="str">
        <x:v>Ordinary users have practical two-way spoken translation for many language pairs; no perfect all-language requirement.</x:v>
      </x:c>
      <x:c r="D145" s="4" t="n">
        <x:v>2009</x:v>
      </x:c>
      <x:c r="E145" s="4" t="str">
        <x:v>PARTLY_FULFILLED</x:v>
      </x:c>
      <x:c r="F145" s="4" t="str">
        <x:v>FULFILLED</x:v>
      </x:c>
      <x:c r="G145" s="4" t="str">
        <x:v>LATE</x:v>
      </x:c>
      <x:c r="H145" s="4" t="n">
        <x:v>1</x:v>
      </x:c>
      <x:c r="I145" s="4" t="str">
        <x:v>Jibbigo provided a real but limited 2009 translating-phone capability. It was not yet a routine many-pair service. Google’s 2011 and 2015 conversation/speech products establish the broader consumer capability by 2015. Accents and mistakes do not negate ordinary practical use.</x:v>
      </x:c>
      <x:c r="J145" s="4" t="str"/>
      <x:c r="K145" s="4" t="str">
        <x:v>REFERENCE_READING</x:v>
      </x:c>
      <x:c r="L145" s="4" t="str">
        <x:v>https://www.cmu.edu/homepage/society/2009/fall/how-do-you-say.shtml
https://translate.googleblog.com/2011/10/start-conversation-with-google.html
https://translate.googleblog.com/2015/</x:v>
      </x:c>
    </x:row>
    <x:row r="146" ht="150" customHeight="1">
      <x:c r="A146" s="4" t="str">
        <x:v>K049</x:v>
      </x:c>
      <x:c r="B146" s="4" t="str">
        <x:v>reference</x:v>
      </x:c>
      <x:c r="C146" s="4" t="str">
        <x:v>Cochlear-style implants are widely used beyond hearing impairment as two-way interfaces to a computing network.</x:v>
      </x:c>
      <x:c r="D146" s="4" t="n">
        <x:v>2029</x:v>
      </x:c>
      <x:c r="E146" s="4" t="str">
        <x:v>NOT_DUE</x:v>
      </x:c>
      <x:c r="F146" s="4" t="str">
        <x:v>PARTLY_FULFILLED</x:v>
      </x:c>
      <x:c r="G146" s="4" t="str">
        <x:v>PENDING</x:v>
      </x:c>
      <x:c r="H146" s="4" t="n">
        <x:v>0</x:v>
      </x:c>
      <x:c r="I146" s="4" t="str">
        <x:v>The 2029 deadline remains future. Therapeutic cochlear implants establish only a portion of the predicted technology and population. They are not yet a general network interface for ordinary users.</x:v>
      </x:c>
      <x:c r="J146" s="4" t="str"/>
      <x:c r="K146" s="4" t="str">
        <x:v>REFERENCE_READING</x:v>
      </x:c>
      <x:c r="L146" s="4" t="str">
        <x:v>https://www.fda.gov/medical-devices/cochlear-implants/what-educators-need-know</x:v>
      </x:c>
    </x:row>
    <x:row r="147" ht="150" customHeight="1">
      <x:c r="A147" s="4" t="str">
        <x:v>K049</x:v>
      </x:c>
      <x:c r="B147" s="4" t="str">
        <x:v>strict</x:v>
      </x:c>
      <x:c r="C147" s="4" t="str">
        <x:v>Cochlear-style implants are widely used beyond hearing impairment as two-way interfaces to a computing network.</x:v>
      </x:c>
      <x:c r="D147" s="4" t="n">
        <x:v>2029</x:v>
      </x:c>
      <x:c r="E147" s="4" t="str">
        <x:v>NOT_DUE</x:v>
      </x:c>
      <x:c r="F147" s="4" t="str">
        <x:v>PARTLY_FULFILLED</x:v>
      </x:c>
      <x:c r="G147" s="4" t="str">
        <x:v>PENDING</x:v>
      </x:c>
      <x:c r="H147" s="4" t="n">
        <x:v>0</x:v>
      </x:c>
      <x:c r="I147" s="4" t="str">
        <x:v>The 2029 deadline remains future. Therapeutic cochlear implants establish only a portion of the predicted technology and population. They are not yet a general network interface for ordinary users.</x:v>
      </x:c>
      <x:c r="J147" s="4" t="str"/>
      <x:c r="K147" s="4" t="str">
        <x:v>REFERENCE_READING</x:v>
      </x:c>
      <x:c r="L147" s="4" t="str">
        <x:v>https://www.fda.gov/medical-devices/cochlear-implants/what-educators-need-know</x:v>
      </x:c>
    </x:row>
    <x:row r="148" ht="150" customHeight="1">
      <x:c r="A148" s="4" t="str">
        <x:v>K049</x:v>
      </x:c>
      <x:c r="B148" s="4" t="str">
        <x:v>broader</x:v>
      </x:c>
      <x:c r="C148" s="4" t="str">
        <x:v>Cochlear-style implants are widely used beyond hearing impairment as two-way interfaces to a computing network.</x:v>
      </x:c>
      <x:c r="D148" s="4" t="n">
        <x:v>2029</x:v>
      </x:c>
      <x:c r="E148" s="4" t="str">
        <x:v>NOT_DUE</x:v>
      </x:c>
      <x:c r="F148" s="4" t="str">
        <x:v>PARTLY_FULFILLED</x:v>
      </x:c>
      <x:c r="G148" s="4" t="str">
        <x:v>PENDING</x:v>
      </x:c>
      <x:c r="H148" s="4" t="n">
        <x:v>0</x:v>
      </x:c>
      <x:c r="I148" s="4" t="str">
        <x:v>The 2029 deadline remains future. Therapeutic cochlear implants establish only a portion of the predicted technology and population. They are not yet a general network interface for ordinary users.</x:v>
      </x:c>
      <x:c r="J148" s="4" t="str"/>
      <x:c r="K148" s="4" t="str">
        <x:v>REFERENCE_READING</x:v>
      </x:c>
      <x:c r="L148" s="4" t="str">
        <x:v>https://www.fda.gov/medical-devices/cochlear-implants/what-educators-need-know</x:v>
      </x:c>
    </x:row>
    <x:row r="149" ht="150" customHeight="1">
      <x:c r="A149" s="4" t="str">
        <x:v>K050</x:v>
      </x:c>
      <x:c r="B149" s="4" t="str">
        <x:v>reference</x:v>
      </x:c>
      <x:c r="C149" s="4" t="str">
        <x:v>Computing is commonly embedded unobtrusively in everyday objects and systems, rather than confined to visibly separate PCs.</x:v>
      </x:c>
      <x:c r="D149" s="4" t="n">
        <x:v>2019</x:v>
      </x:c>
      <x:c r="E149" s="4" t="str">
        <x:v>FULFILLED</x:v>
      </x:c>
      <x:c r="F149" s="4" t="str">
        <x:v>FULFILLED</x:v>
      </x:c>
      <x:c r="G149" s="4" t="str">
        <x:v>CORRECT</x:v>
      </x:c>
      <x:c r="H149" s="4" t="n">
        <x:v>1</x:v>
      </x:c>
      <x:c r="I149" s="4" t="str">
        <x:v>Wearables, household robots and networked systems show that embedded computing had become a normal part of surroundings by 2019. The reference treats “everywhere” as pervasive integration, not a requirement to implant computers in every chair, wall or person.</x:v>
      </x:c>
      <x:c r="J149" s="4" t="str"/>
      <x:c r="K149" s="4" t="str">
        <x:v>REFERENCE_READING</x:v>
      </x:c>
      <x:c r="L149" s="4" t="str">
        <x:v>https://ifr.org/ifr-press-releases/news/service-robots-record-sales-worldwide-up-32
https://www.apple.com/newsroom/2018/09/redesigned-apple-watch-series-4-revolutionizes-communication-fitness-and-health/
https://investor.irobot.com/news-releases/news-release-details/irobot-achieves-milestone-home-robot-market</x:v>
      </x:c>
    </x:row>
    <x:row r="150" ht="150" customHeight="1">
      <x:c r="A150" s="4" t="str">
        <x:v>K050</x:v>
      </x:c>
      <x:c r="B150" s="4" t="str">
        <x:v>strict</x:v>
      </x:c>
      <x:c r="C150" s="4" t="str">
        <x:v>Every listed setting—walls, furniture, clothing, jewelry and bodies—has become a common computing location.</x:v>
      </x:c>
      <x:c r="D150" s="4" t="n">
        <x:v>2019</x:v>
      </x:c>
      <x:c r="E150" s="4" t="str">
        <x:v>PARTLY_FULFILLED</x:v>
      </x:c>
      <x:c r="F150" s="4" t="str">
        <x:v>PARTLY_FULFILLED</x:v>
      </x:c>
      <x:c r="G150" s="4" t="str">
        <x:v>PARTIAL</x:v>
      </x:c>
      <x:c r="H150" s="4" t="n">
        <x:v>1</x:v>
      </x:c>
      <x:c r="I150" s="4" t="str">
        <x:v>The product categories are unevenly realized, especially ordinary clothing and elective in-body computing. This full-list reading remains partial.</x:v>
      </x:c>
      <x:c r="J150" s="4" t="str"/>
      <x:c r="K150" s="4" t="str">
        <x:v>ALTERNATIVE_READING</x:v>
      </x:c>
      <x:c r="L150" s="4" t="str">
        <x:v>https://ifr.org/ifr-press-releases/news/service-robots-record-sales-worldwide-up-32
https://www.apple.com/newsroom/2018/09/redesigned-apple-watch-series-4-revolutionizes-communication-fitness-and-health/
https://investor.irobot.com/news-releases/news-release-details/irobot-achieves-milestone-home-robot-market</x:v>
      </x:c>
    </x:row>
    <x:row r="151" ht="150" customHeight="1">
      <x:c r="A151" s="4" t="str">
        <x:v>K050</x:v>
      </x:c>
      <x:c r="B151" s="4" t="str">
        <x:v>broader</x:v>
      </x:c>
      <x:c r="C151" s="4" t="str">
        <x:v>Computing is commonly embedded unobtrusively in everyday objects and systems, rather than confined to visibly separate PCs.</x:v>
      </x:c>
      <x:c r="D151" s="4" t="n">
        <x:v>2019</x:v>
      </x:c>
      <x:c r="E151" s="4" t="str">
        <x:v>FULFILLED</x:v>
      </x:c>
      <x:c r="F151" s="4" t="str">
        <x:v>FULFILLED</x:v>
      </x:c>
      <x:c r="G151" s="4" t="str">
        <x:v>CORRECT</x:v>
      </x:c>
      <x:c r="H151" s="4" t="n">
        <x:v>1</x:v>
      </x:c>
      <x:c r="I151" s="4" t="str">
        <x:v>Wearables, household robots and networked systems show that embedded computing had become a normal part of surroundings by 2019. The reference treats “everywhere” as pervasive integration, not a requirement to implant computers in every chair, wall or person.</x:v>
      </x:c>
      <x:c r="J151" s="4" t="str"/>
      <x:c r="K151" s="4" t="str">
        <x:v>REFERENCE_READING</x:v>
      </x:c>
      <x:c r="L151" s="4" t="str">
        <x:v>https://ifr.org/ifr-press-releases/news/service-robots-record-sales-worldwide-up-32
https://www.apple.com/newsroom/2018/09/redesigned-apple-watch-series-4-revolutionizes-communication-fitness-and-health/
https://investor.irobot.com/news-releases/news-release-details/irobot-achieves-milestone-home-robot-market</x:v>
      </x:c>
    </x:row>
    <x:row r="152" ht="150" customHeight="1">
      <x:c r="A152" s="4" t="str">
        <x:v>K051</x:v>
      </x:c>
      <x:c r="B152" s="4" t="str">
        <x:v>reference</x:v>
      </x:c>
      <x:c r="C152" s="4" t="str">
        <x:v>Multilayer active circuitry moves from experiments into ordinary semiconductor products.</x:v>
      </x:c>
      <x:c r="D152" s="4" t="n">
        <x:v>2009</x:v>
      </x:c>
      <x:c r="E152" s="4" t="str">
        <x:v>PARTLY_FULFILLED</x:v>
      </x:c>
      <x:c r="F152" s="4" t="str">
        <x:v>FULFILLED</x:v>
      </x:c>
      <x:c r="G152" s="4" t="str">
        <x:v>LATE</x:v>
      </x:c>
      <x:c r="H152" s="4" t="n">
        <x:v>1</x:v>
      </x:c>
      <x:c r="I152" s="4" t="str">
        <x:v>Early stacked/specialized devices made the direction real, but a broad transition to genuinely three-dimensional circuitry was only partial in 2009. Samsung’s mass-produced 3D V-NAND from 2013 establishes commercial multilayer circuits. The word “common” need not mean every processor has become 3D.</x:v>
      </x:c>
      <x:c r="J152" s="4" t="str"/>
      <x:c r="K152" s="4" t="str">
        <x:v>REFERENCE_READING</x:v>
      </x:c>
      <x:c r="L152" s="4" t="str">
        <x:v>https://www.thekurzweillibrary.com/images/How-My-Predictions-Are-Faring.pdf
https://news.samsung.com/global/samsung-starts-mass-producing-industrys-first-3d-vertical-nand-flash</x:v>
      </x:c>
    </x:row>
    <x:row r="153" ht="150" customHeight="1">
      <x:c r="A153" s="4" t="str">
        <x:v>K051</x:v>
      </x:c>
      <x:c r="B153" s="4" t="str">
        <x:v>strict</x:v>
      </x:c>
      <x:c r="C153" s="4" t="str">
        <x:v>Multilayer active circuitry moves from experiments into ordinary semiconductor products.</x:v>
      </x:c>
      <x:c r="D153" s="4" t="n">
        <x:v>2009</x:v>
      </x:c>
      <x:c r="E153" s="4" t="str">
        <x:v>PARTLY_FULFILLED</x:v>
      </x:c>
      <x:c r="F153" s="4" t="str">
        <x:v>FULFILLED</x:v>
      </x:c>
      <x:c r="G153" s="4" t="str">
        <x:v>LATE</x:v>
      </x:c>
      <x:c r="H153" s="4" t="n">
        <x:v>1</x:v>
      </x:c>
      <x:c r="I153" s="4" t="str">
        <x:v>Early stacked/specialized devices made the direction real, but a broad transition to genuinely three-dimensional circuitry was only partial in 2009. Samsung’s mass-produced 3D V-NAND from 2013 establishes commercial multilayer circuits. The word “common” need not mean every processor has become 3D.</x:v>
      </x:c>
      <x:c r="J153" s="4" t="str"/>
      <x:c r="K153" s="4" t="str">
        <x:v>REFERENCE_READING</x:v>
      </x:c>
      <x:c r="L153" s="4" t="str">
        <x:v>https://www.thekurzweillibrary.com/images/How-My-Predictions-Are-Faring.pdf
https://news.samsung.com/global/samsung-starts-mass-producing-industrys-first-3d-vertical-nand-flash</x:v>
      </x:c>
    </x:row>
    <x:row r="154" ht="150" customHeight="1">
      <x:c r="A154" s="4" t="str">
        <x:v>K051</x:v>
      </x:c>
      <x:c r="B154" s="4" t="str">
        <x:v>broader</x:v>
      </x:c>
      <x:c r="C154" s="4" t="str">
        <x:v>Include stacked dies and specialized sensor/MEMS structures as 3D chips.</x:v>
      </x:c>
      <x:c r="D154" s="4" t="n">
        <x:v>2009</x:v>
      </x:c>
      <x:c r="E154" s="4" t="str">
        <x:v>FULFILLED</x:v>
      </x:c>
      <x:c r="F154" s="4" t="str">
        <x:v>FULFILLED</x:v>
      </x:c>
      <x:c r="G154" s="4" t="str">
        <x:v>CORRECT</x:v>
      </x:c>
      <x:c r="H154" s="4" t="n">
        <x:v>1</x:v>
      </x:c>
      <x:c r="I154" s="4" t="str">
        <x:v>The author’s retrospective cites pre-2009 commercial examples under this expansive definition. On-time success is plausible on that reading; independent prevalence evidence is thinner.</x:v>
      </x:c>
      <x:c r="J154" s="4" t="str">
        <x:v>Definition includes stacked/specialized chip structures</x:v>
      </x:c>
      <x:c r="K154" s="4" t="str">
        <x:v>ALTERNATIVE_READING</x:v>
      </x:c>
      <x:c r="L154" s="4" t="str">
        <x:v>https://www.thekurzweillibrary.com/images/How-My-Predictions-Are-Faring.pdf
https://news.samsung.com/global/samsung-starts-mass-producing-industrys-first-3d-vertical-nand-flash</x:v>
      </x:c>
    </x:row>
    <x:row r="155" ht="150" customHeight="1">
      <x:c r="A155" s="4" t="str">
        <x:v>K052</x:v>
      </x:c>
      <x:c r="B155" s="4" t="str">
        <x:v>reference</x:v>
      </x:c>
      <x:c r="C155" s="4" t="str">
        <x:v>A roughly $1,000 PC can supply about 10^12 peak single-precision operations per second, counting its graphics processor.</x:v>
      </x:c>
      <x:c r="D155" s="4" t="n">
        <x:v>2009</x:v>
      </x:c>
      <x:c r="E155" s="4" t="str">
        <x:v>FULFILLED</x:v>
      </x:c>
      <x:c r="F155" s="4" t="str">
        <x:v>FULFILLED</x:v>
      </x:c>
      <x:c r="G155" s="4" t="str">
        <x:v>CORRECT</x:v>
      </x:c>
      <x:c r="H155" s="4" t="n">
        <x:v>1</x:v>
      </x:c>
      <x:c r="I155" s="4" t="str">
        <x:v>AMD’s 2008 $199–$299 GPU generation supplied about 1–1.2 TFLOPS; the remaining budget could accommodate an ordinary host PC. This is a reasonable numerical hardware hit. It is not a claim that every program sustains a teraflop or that GPU and CPU work are interchangeable.</x:v>
      </x:c>
      <x:c r="J155" s="4" t="str"/>
      <x:c r="K155" s="4" t="str">
        <x:v>REFERENCE_READING</x:v>
      </x:c>
      <x:c r="L155" s="4" t="str">
        <x:v>https://xtremehardware.com/news/1524-amd-introduce-il-primo-chip-grafico-al-mondo-di-classe-teraflops
https://www.nvidia.com/en-us/geforce/news/introducing-rtx-30-series-graphics-cards/</x:v>
      </x:c>
    </x:row>
    <x:row r="156" ht="150" customHeight="1">
      <x:c r="A156" s="4" t="str">
        <x:v>K052</x:v>
      </x:c>
      <x:c r="B156" s="4" t="str">
        <x:v>strict</x:v>
      </x:c>
      <x:c r="C156" s="4" t="str">
        <x:v>The entire PC sustains a teraflop on a specified general-purpose benchmark, rather than adding peak GPU arithmetic.</x:v>
      </x:c>
      <x:c r="D156" s="4" t="n">
        <x:v>2009</x:v>
      </x:c>
      <x:c r="E156" s="4" t="str">
        <x:v>PARTLY_FULFILLED</x:v>
      </x:c>
      <x:c r="F156" s="4" t="str">
        <x:v>FULFILLED</x:v>
      </x:c>
      <x:c r="G156" s="4" t="str">
        <x:v>LATE</x:v>
      </x:c>
      <x:c r="H156" s="4" t="n">
        <x:v>1</x:v>
      </x:c>
      <x:c r="I156" s="4" t="str">
        <x:v>Peak board specifications do not establish the stricter 2009 system benchmark. Later consumer hardware has ample headroom, so the narrower practical-throughput reading is late.</x:v>
      </x:c>
      <x:c r="J156" s="4" t="str">
        <x:v>Peak versus sustained general-purpose benchmark</x:v>
      </x:c>
      <x:c r="K156" s="4" t="str">
        <x:v>ALTERNATIVE_READING</x:v>
      </x:c>
      <x:c r="L156" s="4" t="str">
        <x:v>https://xtremehardware.com/news/1524-amd-introduce-il-primo-chip-grafico-al-mondo-di-classe-teraflops
https://www.nvidia.com/en-us/geforce/news/introducing-rtx-30-series-graphics-cards/</x:v>
      </x:c>
    </x:row>
    <x:row r="157" ht="150" customHeight="1">
      <x:c r="A157" s="4" t="str">
        <x:v>K052</x:v>
      </x:c>
      <x:c r="B157" s="4" t="str">
        <x:v>broader</x:v>
      </x:c>
      <x:c r="C157" s="4" t="str">
        <x:v>A roughly $1,000 PC can supply about 10^12 peak single-precision operations per second, counting its graphics processor.</x:v>
      </x:c>
      <x:c r="D157" s="4" t="n">
        <x:v>2009</x:v>
      </x:c>
      <x:c r="E157" s="4" t="str">
        <x:v>FULFILLED</x:v>
      </x:c>
      <x:c r="F157" s="4" t="str">
        <x:v>FULFILLED</x:v>
      </x:c>
      <x:c r="G157" s="4" t="str">
        <x:v>CORRECT</x:v>
      </x:c>
      <x:c r="H157" s="4" t="n">
        <x:v>1</x:v>
      </x:c>
      <x:c r="I157" s="4" t="str">
        <x:v>AMD’s 2008 $199–$299 GPU generation supplied about 1–1.2 TFLOPS; the remaining budget could accommodate an ordinary host PC. This is a reasonable numerical hardware hit. It is not a claim that every program sustains a teraflop or that GPU and CPU work are interchangeable.</x:v>
      </x:c>
      <x:c r="J157" s="4" t="str"/>
      <x:c r="K157" s="4" t="str">
        <x:v>REFERENCE_READING</x:v>
      </x:c>
      <x:c r="L157" s="4" t="str">
        <x:v>https://xtremehardware.com/news/1524-amd-introduce-il-primo-chip-grafico-al-mondo-di-classe-teraflops
https://www.nvidia.com/en-us/geforce/news/introducing-rtx-30-series-graphics-cards/</x:v>
      </x:c>
    </x:row>
    <x:row r="158" ht="150" customHeight="1">
      <x:c r="A158" s="4" t="str">
        <x:v>K053</x:v>
      </x:c>
      <x:c r="B158" s="4" t="str">
        <x:v>reference</x:v>
      </x:c>
      <x:c r="C158" s="4" t="str">
        <x:v>Internet volunteers pool unused computation into virtual parallel systems reaching the stated approximately 20-petaflop scale.</x:v>
      </x:c>
      <x:c r="D158" s="4" t="n">
        <x:v>2009</x:v>
      </x:c>
      <x:c r="E158" s="4" t="str">
        <x:v>PARTLY_FULFILLED</x:v>
      </x:c>
      <x:c r="F158" s="4" t="str">
        <x:v>FULFILLED</x:v>
      </x:c>
      <x:c r="G158" s="4" t="str">
        <x:v>LATE</x:v>
      </x:c>
      <x:c r="H158" s="4" t="n">
        <x:v>1</x:v>
      </x:c>
      <x:c r="I158" s="4" t="str">
        <x:v>Volunteer computing was already real, but the 2010 retrospective’s cited throughput was below the 20-petaflop target. Folding@home’s documented 2020 exascale aggregate easily exceeds that numerical threshold. It remains distributed task throughput, not a single brain emulator.</x:v>
      </x:c>
      <x:c r="J158" s="4" t="str"/>
      <x:c r="K158" s="4" t="str">
        <x:v>REFERENCE_READING</x:v>
      </x:c>
      <x:c r="L158" s="4" t="str">
        <x:v>https://www.thekurzweillibrary.com/images/How-My-Predictions-Are-Faring.pdf
https://foldingathome.org/science/folding</x:v>
      </x:c>
    </x:row>
    <x:row r="159" ht="150" customHeight="1">
      <x:c r="A159" s="4" t="str">
        <x:v>K053</x:v>
      </x:c>
      <x:c r="B159" s="4" t="str">
        <x:v>strict</x:v>
      </x:c>
      <x:c r="C159" s="4" t="str">
        <x:v>Internet volunteers pool unused computation into virtual parallel systems reaching the stated approximately 20-petaflop scale.</x:v>
      </x:c>
      <x:c r="D159" s="4" t="n">
        <x:v>2009</x:v>
      </x:c>
      <x:c r="E159" s="4" t="str">
        <x:v>PARTLY_FULFILLED</x:v>
      </x:c>
      <x:c r="F159" s="4" t="str">
        <x:v>FULFILLED</x:v>
      </x:c>
      <x:c r="G159" s="4" t="str">
        <x:v>LATE</x:v>
      </x:c>
      <x:c r="H159" s="4" t="n">
        <x:v>1</x:v>
      </x:c>
      <x:c r="I159" s="4" t="str">
        <x:v>Volunteer computing was already real, but the 2010 retrospective’s cited throughput was below the 20-petaflop target. Folding@home’s documented 2020 exascale aggregate easily exceeds that numerical threshold. It remains distributed task throughput, not a single brain emulator.</x:v>
      </x:c>
      <x:c r="J159" s="4" t="str"/>
      <x:c r="K159" s="4" t="str">
        <x:v>REFERENCE_READING</x:v>
      </x:c>
      <x:c r="L159" s="4" t="str">
        <x:v>https://www.thekurzweillibrary.com/images/How-My-Predictions-Are-Faring.pdf
https://foldingathome.org/science/folding</x:v>
      </x:c>
    </x:row>
    <x:row r="160" ht="150" customHeight="1">
      <x:c r="A160" s="4" t="str">
        <x:v>K053</x:v>
      </x:c>
      <x:c r="B160" s="4" t="str">
        <x:v>broader</x:v>
      </x:c>
      <x:c r="C160" s="4" t="str">
        <x:v>Distributed volunteer computing is an established useful architecture without the brain-scale throughput threshold.</x:v>
      </x:c>
      <x:c r="D160" s="4" t="n">
        <x:v>2009</x:v>
      </x:c>
      <x:c r="E160" s="4" t="str">
        <x:v>FULFILLED</x:v>
      </x:c>
      <x:c r="F160" s="4" t="str">
        <x:v>FULFILLED</x:v>
      </x:c>
      <x:c r="G160" s="4" t="str">
        <x:v>CORRECT</x:v>
      </x:c>
      <x:c r="H160" s="4" t="n">
        <x:v>1</x:v>
      </x:c>
      <x:c r="I160" s="4" t="str">
        <x:v>This architectural direction was fulfilled before 2009.</x:v>
      </x:c>
      <x:c r="J160" s="4" t="str">
        <x:v>20-petaflop threshold</x:v>
      </x:c>
      <x:c r="K160" s="4" t="str">
        <x:v>ALTERNATIVE_READING</x:v>
      </x:c>
      <x:c r="L160" s="4" t="str">
        <x:v>https://www.thekurzweillibrary.com/images/How-My-Predictions-Are-Faring.pdf
https://foldingathome.org/science/folding</x:v>
      </x:c>
    </x:row>
    <x:row r="161" ht="150" customHeight="1">
      <x:c r="A161" s="4" t="str">
        <x:v>K054</x:v>
      </x:c>
      <x:c r="B161" s="4" t="str">
        <x:v>reference</x:v>
      </x:c>
      <x:c r="C161" s="4" t="str">
        <x:v>Interest and practical work on neural/evolutionary methods increase while conventional computation remains important.</x:v>
      </x:c>
      <x:c r="D161" s="4" t="n">
        <x:v>2009</x:v>
      </x:c>
      <x:c r="E161" s="4" t="str">
        <x:v>FULFILLED</x:v>
      </x:c>
      <x:c r="F161" s="4" t="str">
        <x:v>FULFILLED</x:v>
      </x:c>
      <x:c r="G161" s="4" t="str">
        <x:v>CORRECT</x:v>
      </x:c>
      <x:c r="H161" s="4" t="n">
        <x:v>1</x:v>
      </x:c>
      <x:c r="I161" s="4" t="str">
        <x:v>The 2006 deep-belief-net paper is a concrete pre-deadline advance consistent with renewed neural-method development. The 2012 ImageNet result and subsequent AI systems decisively reinforce the broad direction; no majority-of-all-computation threshold is imposed on this weaker claim.</x:v>
      </x:c>
      <x:c r="J161" s="4" t="str"/>
      <x:c r="K161" s="4" t="str">
        <x:v>REFERENCE_READING</x:v>
      </x:c>
      <x:c r="L161" s="4" t="str">
        <x:v>https://pubmed.ncbi.nlm.nih.gov/16764513/
https://papers.nips.cc/paper/4824-imagenet-classification-with-deep-convolutional-neural-networks</x:v>
      </x:c>
    </x:row>
    <x:row r="162" ht="150" customHeight="1">
      <x:c r="A162" s="4" t="str">
        <x:v>K054</x:v>
      </x:c>
      <x:c r="B162" s="4" t="str">
        <x:v>strict</x:v>
      </x:c>
      <x:c r="C162" s="4" t="str">
        <x:v>Interest and practical work on neural/evolutionary methods increase while conventional computation remains important.</x:v>
      </x:c>
      <x:c r="D162" s="4" t="n">
        <x:v>2009</x:v>
      </x:c>
      <x:c r="E162" s="4" t="str">
        <x:v>FULFILLED</x:v>
      </x:c>
      <x:c r="F162" s="4" t="str">
        <x:v>FULFILLED</x:v>
      </x:c>
      <x:c r="G162" s="4" t="str">
        <x:v>CORRECT</x:v>
      </x:c>
      <x:c r="H162" s="4" t="n">
        <x:v>1</x:v>
      </x:c>
      <x:c r="I162" s="4" t="str">
        <x:v>The 2006 deep-belief-net paper is a concrete pre-deadline advance consistent with renewed neural-method development. The 2012 ImageNet result and subsequent AI systems decisively reinforce the broad direction; no majority-of-all-computation threshold is imposed on this weaker claim.</x:v>
      </x:c>
      <x:c r="J162" s="4" t="str"/>
      <x:c r="K162" s="4" t="str">
        <x:v>REFERENCE_READING</x:v>
      </x:c>
      <x:c r="L162" s="4" t="str">
        <x:v>https://pubmed.ncbi.nlm.nih.gov/16764513/
https://papers.nips.cc/paper/4824-imagenet-classification-with-deep-convolutional-neural-networks</x:v>
      </x:c>
    </x:row>
    <x:row r="163" ht="150" customHeight="1">
      <x:c r="A163" s="4" t="str">
        <x:v>K054</x:v>
      </x:c>
      <x:c r="B163" s="4" t="str">
        <x:v>broader</x:v>
      </x:c>
      <x:c r="C163" s="4" t="str">
        <x:v>Interest and practical work on neural/evolutionary methods increase while conventional computation remains important.</x:v>
      </x:c>
      <x:c r="D163" s="4" t="n">
        <x:v>2009</x:v>
      </x:c>
      <x:c r="E163" s="4" t="str">
        <x:v>FULFILLED</x:v>
      </x:c>
      <x:c r="F163" s="4" t="str">
        <x:v>FULFILLED</x:v>
      </x:c>
      <x:c r="G163" s="4" t="str">
        <x:v>CORRECT</x:v>
      </x:c>
      <x:c r="H163" s="4" t="n">
        <x:v>1</x:v>
      </x:c>
      <x:c r="I163" s="4" t="str">
        <x:v>The 2006 deep-belief-net paper is a concrete pre-deadline advance consistent with renewed neural-method development. The 2012 ImageNet result and subsequent AI systems decisively reinforce the broad direction; no majority-of-all-computation threshold is imposed on this weaker claim.</x:v>
      </x:c>
      <x:c r="J163" s="4" t="str"/>
      <x:c r="K163" s="4" t="str">
        <x:v>REFERENCE_READING</x:v>
      </x:c>
      <x:c r="L163" s="4" t="str">
        <x:v>https://pubmed.ncbi.nlm.nih.gov/16764513/
https://papers.nips.cc/paper/4824-imagenet-classification-with-deep-convolutional-neural-networks</x:v>
      </x:c>
    </x:row>
    <x:row r="164" ht="150" customHeight="1">
      <x:c r="A164" s="4" t="str">
        <x:v>K055</x:v>
      </x:c>
      <x:c r="B164" s="4" t="str">
        <x:v>reference</x:v>
      </x:c>
      <x:c r="C164" s="4" t="str">
        <x:v>Owner recognition by a built-in camera becomes a reliable routine consumer-computing function.</x:v>
      </x:c>
      <x:c r="D164" s="4" t="n">
        <x:v>2009</x:v>
      </x:c>
      <x:c r="E164" s="4" t="str">
        <x:v>PARTLY_FULFILLED</x:v>
      </x:c>
      <x:c r="F164" s="4" t="str">
        <x:v>FULFILLED</x:v>
      </x:c>
      <x:c r="G164" s="4" t="str">
        <x:v>LATE</x:v>
      </x:c>
      <x:c r="H164" s="4" t="n">
        <x:v>1</x:v>
      </x:c>
      <x:c r="I164" s="4" t="str">
        <x:v>Webcams and face recognition existed, but reliable everyday authentication was not yet routine across ordinary personal devices in 2009. Face ID on the shipping 2017 iPhone X is a clear practical implementation. This establishes late realization without claiming that it was the first face-recognition computer.</x:v>
      </x:c>
      <x:c r="J164" s="4" t="str"/>
      <x:c r="K164" s="4" t="str">
        <x:v>REFERENCE_READING</x:v>
      </x:c>
      <x:c r="L164" s="4" t="str">
        <x:v>https://www.thekurzweillibrary.com/images/How-My-Predictions-Are-Faring.pdf
https://www.apple.com/newsroom/2017/09/the-future-is-here-iphone-x/</x:v>
      </x:c>
    </x:row>
    <x:row r="165" ht="150" customHeight="1">
      <x:c r="A165" s="4" t="str">
        <x:v>K055</x:v>
      </x:c>
      <x:c r="B165" s="4" t="str">
        <x:v>strict</x:v>
      </x:c>
      <x:c r="C165" s="4" t="str">
        <x:v>Owner recognition by a built-in camera becomes a reliable routine consumer-computing function.</x:v>
      </x:c>
      <x:c r="D165" s="4" t="n">
        <x:v>2009</x:v>
      </x:c>
      <x:c r="E165" s="4" t="str">
        <x:v>PARTLY_FULFILLED</x:v>
      </x:c>
      <x:c r="F165" s="4" t="str">
        <x:v>FULFILLED</x:v>
      </x:c>
      <x:c r="G165" s="4" t="str">
        <x:v>LATE</x:v>
      </x:c>
      <x:c r="H165" s="4" t="n">
        <x:v>1</x:v>
      </x:c>
      <x:c r="I165" s="4" t="str">
        <x:v>Webcams and face recognition existed, but reliable everyday authentication was not yet routine across ordinary personal devices in 2009. Face ID on the shipping 2017 iPhone X is a clear practical implementation. This establishes late realization without claiming that it was the first face-recognition computer.</x:v>
      </x:c>
      <x:c r="J165" s="4" t="str"/>
      <x:c r="K165" s="4" t="str">
        <x:v>REFERENCE_READING</x:v>
      </x:c>
      <x:c r="L165" s="4" t="str">
        <x:v>https://www.thekurzweillibrary.com/images/How-My-Predictions-Are-Faring.pdf
https://www.apple.com/newsroom/2017/09/the-future-is-here-iphone-x/</x:v>
      </x:c>
    </x:row>
    <x:row r="166" ht="150" customHeight="1">
      <x:c r="A166" s="4" t="str">
        <x:v>K055</x:v>
      </x:c>
      <x:c r="B166" s="4" t="str">
        <x:v>broader</x:v>
      </x:c>
      <x:c r="C166" s="4" t="str">
        <x:v>Owner recognition by a built-in camera becomes a reliable routine consumer-computing function.</x:v>
      </x:c>
      <x:c r="D166" s="4" t="n">
        <x:v>2009</x:v>
      </x:c>
      <x:c r="E166" s="4" t="str">
        <x:v>PARTLY_FULFILLED</x:v>
      </x:c>
      <x:c r="F166" s="4" t="str">
        <x:v>FULFILLED</x:v>
      </x:c>
      <x:c r="G166" s="4" t="str">
        <x:v>LATE</x:v>
      </x:c>
      <x:c r="H166" s="4" t="n">
        <x:v>1</x:v>
      </x:c>
      <x:c r="I166" s="4" t="str">
        <x:v>Webcams and face recognition existed, but reliable everyday authentication was not yet routine across ordinary personal devices in 2009. Face ID on the shipping 2017 iPhone X is a clear practical implementation. This establishes late realization without claiming that it was the first face-recognition computer.</x:v>
      </x:c>
      <x:c r="J166" s="4" t="str"/>
      <x:c r="K166" s="4" t="str">
        <x:v>REFERENCE_READING</x:v>
      </x:c>
      <x:c r="L166" s="4" t="str">
        <x:v>https://www.thekurzweillibrary.com/images/How-My-Predictions-Are-Faring.pdf
https://www.apple.com/newsroom/2017/09/the-future-is-here-iphone-x/</x:v>
      </x:c>
    </x:row>
    <x:row r="167" ht="150" customHeight="1">
      <x:c r="A167" s="4" t="str">
        <x:v>K056</x:v>
      </x:c>
      <x:c r="B167" s="4" t="str">
        <x:v>reference</x:v>
      </x:c>
      <x:c r="C167" s="4" t="str">
        <x:v>Students typically have their own thin, readable tablet computer weighing less than one pound.</x:v>
      </x:c>
      <x:c r="D167" s="4" t="n">
        <x:v>2009</x:v>
      </x:c>
      <x:c r="E167" s="4" t="str">
        <x:v>NOT_FULFILLED</x:v>
      </x:c>
      <x:c r="F167" s="4" t="str">
        <x:v>PARTLY_FULFILLED</x:v>
      </x:c>
      <x:c r="G167" s="4" t="str">
        <x:v>PARTIAL</x:v>
      </x:c>
      <x:c r="H167" s="4" t="n">
        <x:v>1</x:v>
      </x:c>
      <x:c r="I167" s="4" t="str">
        <x:v>The 2009 school-technology picture does not support typical one-device-per-child ownership, much less the specified tablet weight/form. NCES documents extensive school device provision by 2021–22, but that includes loaned laptops and heavier devices; the complete form/ownership claim remains partial.</x:v>
      </x:c>
      <x:c r="J167" s="4" t="str"/>
      <x:c r="K167" s="4" t="str">
        <x:v>REFERENCE_READING</x:v>
      </x:c>
      <x:c r="L167" s="4" t="str">
        <x:v>https://ies.ed.gov/use-work/resource-library/report/first-look-ed-tab/teachers-use-educational-technology-u-s-public-schools-2009
https://nces.ed.gov/surveys/annualreports/topical-studies/covid/theme/elementary-and-secondary-education-technology-support/</x:v>
      </x:c>
    </x:row>
    <x:row r="168" ht="150" customHeight="1">
      <x:c r="A168" s="4" t="str">
        <x:v>K056</x:v>
      </x:c>
      <x:c r="B168" s="4" t="str">
        <x:v>strict</x:v>
      </x:c>
      <x:c r="C168" s="4" t="str">
        <x:v>Students typically have their own thin, readable tablet computer weighing less than one pound.</x:v>
      </x:c>
      <x:c r="D168" s="4" t="n">
        <x:v>2009</x:v>
      </x:c>
      <x:c r="E168" s="4" t="str">
        <x:v>NOT_FULFILLED</x:v>
      </x:c>
      <x:c r="F168" s="4" t="str">
        <x:v>PARTLY_FULFILLED</x:v>
      </x:c>
      <x:c r="G168" s="4" t="str">
        <x:v>PARTIAL</x:v>
      </x:c>
      <x:c r="H168" s="4" t="n">
        <x:v>1</x:v>
      </x:c>
      <x:c r="I168" s="4" t="str">
        <x:v>The 2009 school-technology picture does not support typical one-device-per-child ownership, much less the specified tablet weight/form. NCES documents extensive school device provision by 2021–22, but that includes loaned laptops and heavier devices; the complete form/ownership claim remains partial.</x:v>
      </x:c>
      <x:c r="J168" s="4" t="str"/>
      <x:c r="K168" s="4" t="str">
        <x:v>REFERENCE_READING</x:v>
      </x:c>
      <x:c r="L168" s="4" t="str">
        <x:v>https://ies.ed.gov/use-work/resource-library/report/first-look-ed-tab/teachers-use-educational-technology-u-s-public-schools-2009
https://nces.ed.gov/surveys/annualreports/topical-studies/covid/theme/elementary-and-secondary-education-technology-support/</x:v>
      </x:c>
    </x:row>
    <x:row r="169" ht="150" customHeight="1">
      <x:c r="A169" s="4" t="str">
        <x:v>K056</x:v>
      </x:c>
      <x:c r="B169" s="4" t="str">
        <x:v>broader</x:v>
      </x:c>
      <x:c r="C169" s="4" t="str">
        <x:v>Students generally have access to a portable connected device for learning, regardless of ownership or weight.</x:v>
      </x:c>
      <x:c r="D169" s="4" t="n">
        <x:v>2009</x:v>
      </x:c>
      <x:c r="E169" s="4" t="str">
        <x:v>PARTLY_FULFILLED</x:v>
      </x:c>
      <x:c r="F169" s="4" t="str">
        <x:v>FULFILLED</x:v>
      </x:c>
      <x:c r="G169" s="4" t="str">
        <x:v>LATE</x:v>
      </x:c>
      <x:c r="H169" s="4" t="n">
        <x:v>1</x:v>
      </x:c>
      <x:c r="I169" s="4" t="str">
        <x:v>US schools’ broad device provision by 2021–22 fulfills this more functional access criterion.</x:v>
      </x:c>
      <x:c r="J169" s="4" t="str">
        <x:v>Own device; Tablet form and sub-pound weight; Global scope limited to US school evidence</x:v>
      </x:c>
      <x:c r="K169" s="4" t="str">
        <x:v>ALTERNATIVE_READING</x:v>
      </x:c>
      <x:c r="L169" s="4" t="str">
        <x:v>https://ies.ed.gov/use-work/resource-library/report/first-look-ed-tab/teachers-use-educational-technology-u-s-public-schools-2009
https://nces.ed.gov/surveys/annualreports/topical-studies/covid/theme/elementary-and-secondary-education-technology-support/</x:v>
      </x:c>
    </x:row>
    <x:row r="170" ht="150" customHeight="1">
      <x:c r="A170" s="4" t="str">
        <x:v>K057</x:v>
      </x:c>
      <x:c r="B170" s="4" t="str">
        <x:v>reference</x:v>
      </x:c>
      <x:c r="C170" s="4" t="str">
        <x:v>Learners can ordinarily obtain educational content through wireless Internet access.</x:v>
      </x:c>
      <x:c r="D170" s="4" t="n">
        <x:v>2009</x:v>
      </x:c>
      <x:c r="E170" s="4" t="str">
        <x:v>FULFILLED</x:v>
      </x:c>
      <x:c r="F170" s="4" t="str">
        <x:v>FULFILLED</x:v>
      </x:c>
      <x:c r="G170" s="4" t="str">
        <x:v>CORRECT</x:v>
      </x:c>
      <x:c r="H170" s="4" t="n">
        <x:v>1</x:v>
      </x:c>
      <x:c r="I170" s="4" t="str">
        <x:v>iTunes U distributed university material in 2007; contemporary wireless access and connected portable computers supplied the delivery route. This is an availability/distribution claim, not a claim that every course or school has discarded physical books.</x:v>
      </x:c>
      <x:c r="J170" s="4" t="str"/>
      <x:c r="K170" s="4" t="str">
        <x:v>REFERENCE_READING</x:v>
      </x:c>
      <x:c r="L170" s="4" t="str">
        <x:v>https://www.apple.com/newsroom/2007/05/30Apple-Announces-iTunes-U-on-the-iTunes-Store/
https://www.pewresearch.org/internet/2009/07/22/wireless-internet-use/</x:v>
      </x:c>
    </x:row>
    <x:row r="171" ht="150" customHeight="1">
      <x:c r="A171" s="4" t="str">
        <x:v>K057</x:v>
      </x:c>
      <x:c r="B171" s="4" t="str">
        <x:v>strict</x:v>
      </x:c>
      <x:c r="C171" s="4" t="str">
        <x:v>Learners can ordinarily obtain educational content through wireless Internet access.</x:v>
      </x:c>
      <x:c r="D171" s="4" t="n">
        <x:v>2009</x:v>
      </x:c>
      <x:c r="E171" s="4" t="str">
        <x:v>FULFILLED</x:v>
      </x:c>
      <x:c r="F171" s="4" t="str">
        <x:v>FULFILLED</x:v>
      </x:c>
      <x:c r="G171" s="4" t="str">
        <x:v>CORRECT</x:v>
      </x:c>
      <x:c r="H171" s="4" t="n">
        <x:v>1</x:v>
      </x:c>
      <x:c r="I171" s="4" t="str">
        <x:v>iTunes U distributed university material in 2007; contemporary wireless access and connected portable computers supplied the delivery route. This is an availability/distribution claim, not a claim that every course or school has discarded physical books.</x:v>
      </x:c>
      <x:c r="J171" s="4" t="str"/>
      <x:c r="K171" s="4" t="str">
        <x:v>REFERENCE_READING</x:v>
      </x:c>
      <x:c r="L171" s="4" t="str">
        <x:v>https://www.apple.com/newsroom/2007/05/30Apple-Announces-iTunes-U-on-the-iTunes-Store/
https://www.pewresearch.org/internet/2009/07/22/wireless-internet-use/</x:v>
      </x:c>
    </x:row>
    <x:row r="172" ht="150" customHeight="1">
      <x:c r="A172" s="4" t="str">
        <x:v>K057</x:v>
      </x:c>
      <x:c r="B172" s="4" t="str">
        <x:v>broader</x:v>
      </x:c>
      <x:c r="C172" s="4" t="str">
        <x:v>Learners can ordinarily obtain educational content through wireless Internet access.</x:v>
      </x:c>
      <x:c r="D172" s="4" t="n">
        <x:v>2009</x:v>
      </x:c>
      <x:c r="E172" s="4" t="str">
        <x:v>FULFILLED</x:v>
      </x:c>
      <x:c r="F172" s="4" t="str">
        <x:v>FULFILLED</x:v>
      </x:c>
      <x:c r="G172" s="4" t="str">
        <x:v>CORRECT</x:v>
      </x:c>
      <x:c r="H172" s="4" t="n">
        <x:v>1</x:v>
      </x:c>
      <x:c r="I172" s="4" t="str">
        <x:v>iTunes U distributed university material in 2007; contemporary wireless access and connected portable computers supplied the delivery route. This is an availability/distribution claim, not a claim that every course or school has discarded physical books.</x:v>
      </x:c>
      <x:c r="J172" s="4" t="str"/>
      <x:c r="K172" s="4" t="str">
        <x:v>REFERENCE_READING</x:v>
      </x:c>
      <x:c r="L172" s="4" t="str">
        <x:v>https://www.apple.com/newsroom/2007/05/30Apple-Announces-iTunes-U-on-the-iTunes-Store/
https://www.pewresearch.org/internet/2009/07/22/wireless-internet-use/</x:v>
      </x:c>
    </x:row>
    <x:row r="173" ht="150" customHeight="1">
      <x:c r="A173" s="4" t="str">
        <x:v>K058</x:v>
      </x:c>
      <x:c r="B173" s="4" t="str">
        <x:v>reference</x:v>
      </x:c>
      <x:c r="C173" s="4" t="str">
        <x:v>Software supplies enough instruction that teachers primarily handle motivation, well-being and socialization.</x:v>
      </x:c>
      <x:c r="D173" s="4" t="n">
        <x:v>2009</x:v>
      </x:c>
      <x:c r="E173" s="4" t="str">
        <x:v>PARTLY_FULFILLED</x:v>
      </x:c>
      <x:c r="F173" s="4" t="str">
        <x:v>PARTLY_FULFILLED</x:v>
      </x:c>
      <x:c r="G173" s="4" t="str">
        <x:v>PARTIAL</x:v>
      </x:c>
      <x:c r="H173" s="4" t="n">
        <x:v>1</x:v>
      </x:c>
      <x:c r="I173" s="4" t="str">
        <x:v>Classroom software was real, but the human teacher’s principal instructional role had not generally been displaced in 2009. Digital materials and AI help instruction, yet human teachers remain central knowledge instructors. The claimed role rebalancing remains partial, not merely awaiting a perfect survey.</x:v>
      </x:c>
      <x:c r="J173" s="4" t="str"/>
      <x:c r="K173" s="4" t="str">
        <x:v>REFERENCE_READING</x:v>
      </x:c>
      <x:c r="L173" s="4" t="str">
        <x:v>https://ies.ed.gov/use-work/resource-library/report/first-look-ed-tab/teachers-use-educational-technology-u-s-public-schools-2009
https://www.unesco.org/en/teachers-cannot-be-coded
https://nces.ed.gov/surveys/annualreports/topical-studies/covid/theme/elementary-and-secondary-education-technology-support/</x:v>
      </x:c>
    </x:row>
    <x:row r="174" ht="150" customHeight="1">
      <x:c r="A174" s="4" t="str">
        <x:v>K058</x:v>
      </x:c>
      <x:c r="B174" s="4" t="str">
        <x:v>strict</x:v>
      </x:c>
      <x:c r="C174" s="4" t="str">
        <x:v>Software supplies enough instruction that teachers primarily handle motivation, well-being and socialization.</x:v>
      </x:c>
      <x:c r="D174" s="4" t="n">
        <x:v>2009</x:v>
      </x:c>
      <x:c r="E174" s="4" t="str">
        <x:v>PARTLY_FULFILLED</x:v>
      </x:c>
      <x:c r="F174" s="4" t="str">
        <x:v>PARTLY_FULFILLED</x:v>
      </x:c>
      <x:c r="G174" s="4" t="str">
        <x:v>PARTIAL</x:v>
      </x:c>
      <x:c r="H174" s="4" t="n">
        <x:v>1</x:v>
      </x:c>
      <x:c r="I174" s="4" t="str">
        <x:v>Classroom software was real, but the human teacher’s principal instructional role had not generally been displaced in 2009. Digital materials and AI help instruction, yet human teachers remain central knowledge instructors. The claimed role rebalancing remains partial, not merely awaiting a perfect survey.</x:v>
      </x:c>
      <x:c r="J174" s="4" t="str"/>
      <x:c r="K174" s="4" t="str">
        <x:v>REFERENCE_READING</x:v>
      </x:c>
      <x:c r="L174" s="4" t="str">
        <x:v>https://ies.ed.gov/use-work/resource-library/report/first-look-ed-tab/teachers-use-educational-technology-u-s-public-schools-2009
https://www.unesco.org/en/teachers-cannot-be-coded
https://nces.ed.gov/surveys/annualreports/topical-studies/covid/theme/elementary-and-secondary-education-technology-support/</x:v>
      </x:c>
    </x:row>
    <x:row r="175" ht="150" customHeight="1">
      <x:c r="A175" s="4" t="str">
        <x:v>K058</x:v>
      </x:c>
      <x:c r="B175" s="4" t="str">
        <x:v>broader</x:v>
      </x:c>
      <x:c r="C175" s="4" t="str">
        <x:v>Software supports instruction and lets teachers spend some more attention on mentoring.</x:v>
      </x:c>
      <x:c r="D175" s="4" t="n">
        <x:v>2009</x:v>
      </x:c>
      <x:c r="E175" s="4" t="str">
        <x:v>FULFILLED</x:v>
      </x:c>
      <x:c r="F175" s="4" t="str">
        <x:v>FULFILLED</x:v>
      </x:c>
      <x:c r="G175" s="4" t="str">
        <x:v>CORRECT</x:v>
      </x:c>
      <x:c r="H175" s="4" t="n">
        <x:v>1</x:v>
      </x:c>
      <x:c r="I175" s="4" t="str">
        <x:v>The direction of classroom augmentation was already present by 2009.</x:v>
      </x:c>
      <x:c r="J175" s="4" t="str">
        <x:v>Primarily mentoring rather than instructing</x:v>
      </x:c>
      <x:c r="K175" s="4" t="str">
        <x:v>ALTERNATIVE_READING</x:v>
      </x:c>
      <x:c r="L175" s="4" t="str">
        <x:v>https://ies.ed.gov/use-work/resource-library/report/first-look-ed-tab/teachers-use-educational-technology-u-s-public-schools-2009
https://www.unesco.org/en/teachers-cannot-be-coded
https://nces.ed.gov/surveys/annualreports/topical-studies/covid/theme/elementary-and-secondary-education-technology-support/</x:v>
      </x:c>
    </x:row>
    <x:row r="176" ht="150" customHeight="1">
      <x:c r="A176" s="4" t="str">
        <x:v>K059</x:v>
      </x:c>
      <x:c r="B176" s="4" t="str">
        <x:v>reference</x:v>
      </x:c>
      <x:c r="C176" s="4" t="str">
        <x:v>Online purchase transactions dominate ordinary consumer commerce; retail sales value is the stated empirical proxy.</x:v>
      </x:c>
      <x:c r="D176" s="4" t="n">
        <x:v>2009</x:v>
      </x:c>
      <x:c r="E176" s="4" t="str">
        <x:v>NOT_FULFILLED</x:v>
      </x:c>
      <x:c r="F176" s="4" t="str">
        <x:v>NOT_FULFILLED</x:v>
      </x:c>
      <x:c r="G176" s="4" t="str">
        <x:v>WRONG</x:v>
      </x:c>
      <x:c r="H176" s="4" t="n">
        <x:v>1</x:v>
      </x:c>
      <x:c r="I176" s="4" t="str">
        <x:v>US retail e-commerce was only about 3.7% of retail sales in 2009, far from a half-share consumer-commerce interpretation. The 2026 Q2 US share was 17.1%, still below half. This does not decide whether a different denominator including interbank, stock-market or B2B messages might pass.</x:v>
      </x:c>
      <x:c r="J176" s="4" t="str"/>
      <x:c r="K176" s="4" t="str">
        <x:v>REFERENCE_READING</x:v>
      </x:c>
      <x:c r="L176" s="4" t="str">
        <x:v>https://www2.census.gov/historical/ecomm/09q4.html
https://www.census.gov/retail/eCommerce.html</x:v>
      </x:c>
    </x:row>
    <x:row r="177" ht="150" customHeight="1">
      <x:c r="A177" s="4" t="str">
        <x:v>K059</x:v>
      </x:c>
      <x:c r="B177" s="4" t="str">
        <x:v>strict</x:v>
      </x:c>
      <x:c r="C177" s="4" t="str">
        <x:v>Online purchase transactions dominate ordinary consumer commerce; retail sales value is the stated empirical proxy.</x:v>
      </x:c>
      <x:c r="D177" s="4" t="n">
        <x:v>2009</x:v>
      </x:c>
      <x:c r="E177" s="4" t="str">
        <x:v>NOT_FULFILLED</x:v>
      </x:c>
      <x:c r="F177" s="4" t="str">
        <x:v>NOT_FULFILLED</x:v>
      </x:c>
      <x:c r="G177" s="4" t="str">
        <x:v>WRONG</x:v>
      </x:c>
      <x:c r="H177" s="4" t="n">
        <x:v>1</x:v>
      </x:c>
      <x:c r="I177" s="4" t="str">
        <x:v>US retail e-commerce was only about 3.7% of retail sales in 2009, far from a half-share consumer-commerce interpretation. The 2026 Q2 US share was 17.1%, still below half. This does not decide whether a different denominator including interbank, stock-market or B2B messages might pass.</x:v>
      </x:c>
      <x:c r="J177" s="4" t="str"/>
      <x:c r="K177" s="4" t="str">
        <x:v>REFERENCE_READING</x:v>
      </x:c>
      <x:c r="L177" s="4" t="str">
        <x:v>https://www2.census.gov/historical/ecomm/09q4.html
https://www.census.gov/retail/eCommerce.html</x:v>
      </x:c>
    </x:row>
    <x:row r="178" ht="150" customHeight="1">
      <x:c r="A178" s="4" t="str">
        <x:v>K059</x:v>
      </x:c>
      <x:c r="B178" s="4" t="str">
        <x:v>broader</x:v>
      </x:c>
      <x:c r="C178" s="4" t="str">
        <x:v>Many forms of commercial transactions are digitally processed, including offline-origin transactions.</x:v>
      </x:c>
      <x:c r="D178" s="4" t="n">
        <x:v>2009</x:v>
      </x:c>
      <x:c r="E178" s="4" t="str">
        <x:v>PARTLY_FULFILLED</x:v>
      </x:c>
      <x:c r="F178" s="4" t="str">
        <x:v>FULFILLED</x:v>
      </x:c>
      <x:c r="G178" s="4" t="str">
        <x:v>LATE</x:v>
      </x:c>
      <x:c r="H178" s="4" t="n">
        <x:v>1</x:v>
      </x:c>
      <x:c r="I178" s="4" t="str">
        <x:v>Digital transaction handling is widespread, but this changes online purchasing into electronic processing and supplies no comparable majority-count denominator.</x:v>
      </x:c>
      <x:c r="J178" s="4" t="str">
        <x:v>Online purchasing versus electronic processing; Consumer retail versus all financial activity</x:v>
      </x:c>
      <x:c r="K178" s="4" t="str">
        <x:v>ALTERNATIVE_READING</x:v>
      </x:c>
      <x:c r="L178" s="4" t="str">
        <x:v>https://www2.census.gov/historical/ecomm/09q4.html
https://www.census.gov/retail/eCommerce.html</x:v>
      </x:c>
    </x:row>
    <x:row r="179" ht="150" customHeight="1">
      <x:c r="A179" s="4" t="str">
        <x:v>K060</x:v>
      </x:c>
      <x:c r="B179" s="4" t="str">
        <x:v>reference</x:v>
      </x:c>
      <x:c r="C179" s="4" t="str">
        <x:v>A strong practical trend toward geographically distributed collaboration emerges.</x:v>
      </x:c>
      <x:c r="D179" s="4" t="n">
        <x:v>2009</x:v>
      </x:c>
      <x:c r="E179" s="4" t="str">
        <x:v>FULFILLED</x:v>
      </x:c>
      <x:c r="F179" s="4" t="str">
        <x:v>FULFILLED</x:v>
      </x:c>
      <x:c r="G179" s="4" t="str">
        <x:v>CORRECT</x:v>
      </x:c>
      <x:c r="H179" s="4" t="n">
        <x:v>1</x:v>
      </x:c>
      <x:c r="I179" s="4" t="str">
        <x:v>Cisco’s 2007 WebEx acquisition described more than 2.2 million registered users collaborating online. Teams’ 2019 usage further substantiates the direction. The forecast does not require most workers to work remotely or the end of offices.</x:v>
      </x:c>
      <x:c r="J179" s="4" t="str"/>
      <x:c r="K179" s="4" t="str">
        <x:v>REFERENCE_READING</x:v>
      </x:c>
      <x:c r="L179" s="4" t="str">
        <x:v>https://newsroom.cisco.com/c/r/newsroom/en/us/a/y2007/m03/cisco-announces-agreement-to-acquire-webex.html
https://www.microsoft.com/en-us/microsoft-365/blog/2019/07/11/microsoft-teams-reaches-13-million-daily-active-users-introduces-4-new-ways-for-teams-to-work-better-together/</x:v>
      </x:c>
    </x:row>
    <x:row r="180" ht="150" customHeight="1">
      <x:c r="A180" s="4" t="str">
        <x:v>K060</x:v>
      </x:c>
      <x:c r="B180" s="4" t="str">
        <x:v>strict</x:v>
      </x:c>
      <x:c r="C180" s="4" t="str">
        <x:v>A strong practical trend toward geographically distributed collaboration emerges.</x:v>
      </x:c>
      <x:c r="D180" s="4" t="n">
        <x:v>2009</x:v>
      </x:c>
      <x:c r="E180" s="4" t="str">
        <x:v>FULFILLED</x:v>
      </x:c>
      <x:c r="F180" s="4" t="str">
        <x:v>FULFILLED</x:v>
      </x:c>
      <x:c r="G180" s="4" t="str">
        <x:v>CORRECT</x:v>
      </x:c>
      <x:c r="H180" s="4" t="n">
        <x:v>1</x:v>
      </x:c>
      <x:c r="I180" s="4" t="str">
        <x:v>Cisco’s 2007 WebEx acquisition described more than 2.2 million registered users collaborating online. Teams’ 2019 usage further substantiates the direction. The forecast does not require most workers to work remotely or the end of offices.</x:v>
      </x:c>
      <x:c r="J180" s="4" t="str"/>
      <x:c r="K180" s="4" t="str">
        <x:v>REFERENCE_READING</x:v>
      </x:c>
      <x:c r="L180" s="4" t="str">
        <x:v>https://newsroom.cisco.com/c/r/newsroom/en/us/a/y2007/m03/cisco-announces-agreement-to-acquire-webex.html
https://www.microsoft.com/en-us/microsoft-365/blog/2019/07/11/microsoft-teams-reaches-13-million-daily-active-users-introduces-4-new-ways-for-teams-to-work-better-together/</x:v>
      </x:c>
    </x:row>
    <x:row r="181" ht="150" customHeight="1">
      <x:c r="A181" s="4" t="str">
        <x:v>K060</x:v>
      </x:c>
      <x:c r="B181" s="4" t="str">
        <x:v>broader</x:v>
      </x:c>
      <x:c r="C181" s="4" t="str">
        <x:v>A strong practical trend toward geographically distributed collaboration emerges.</x:v>
      </x:c>
      <x:c r="D181" s="4" t="n">
        <x:v>2009</x:v>
      </x:c>
      <x:c r="E181" s="4" t="str">
        <x:v>FULFILLED</x:v>
      </x:c>
      <x:c r="F181" s="4" t="str">
        <x:v>FULFILLED</x:v>
      </x:c>
      <x:c r="G181" s="4" t="str">
        <x:v>CORRECT</x:v>
      </x:c>
      <x:c r="H181" s="4" t="n">
        <x:v>1</x:v>
      </x:c>
      <x:c r="I181" s="4" t="str">
        <x:v>Cisco’s 2007 WebEx acquisition described more than 2.2 million registered users collaborating online. Teams’ 2019 usage further substantiates the direction. The forecast does not require most workers to work remotely or the end of offices.</x:v>
      </x:c>
      <x:c r="J181" s="4" t="str"/>
      <x:c r="K181" s="4" t="str">
        <x:v>REFERENCE_READING</x:v>
      </x:c>
      <x:c r="L181" s="4" t="str">
        <x:v>https://newsroom.cisco.com/c/r/newsroom/en/us/a/y2007/m03/cisco-announces-agreement-to-acquire-webex.html
https://www.microsoft.com/en-us/microsoft-365/blog/2019/07/11/microsoft-teams-reaches-13-million-daily-active-users-introduces-4-new-ways-for-teams-to-work-better-together/</x:v>
      </x:c>
    </x:row>
    <x:row r="182" ht="150" customHeight="1">
      <x:c r="A182" s="4" t="str">
        <x:v>K061</x:v>
      </x:c>
      <x:c r="B182" s="4" t="str">
        <x:v>reference</x:v>
      </x:c>
      <x:c r="C182" s="4" t="str">
        <x:v>Useful household robots are commercially established but not yet universally accepted.</x:v>
      </x:c>
      <x:c r="D182" s="4" t="n">
        <x:v>2009</x:v>
      </x:c>
      <x:c r="E182" s="4" t="str">
        <x:v>FULFILLED</x:v>
      </x:c>
      <x:c r="F182" s="4" t="str">
        <x:v>FULFILLED</x:v>
      </x:c>
      <x:c r="G182" s="4" t="str">
        <x:v>CORRECT</x:v>
      </x:c>
      <x:c r="H182" s="4" t="n">
        <x:v>1</x:v>
      </x:c>
      <x:c r="I182" s="4" t="str">
        <x:v>Roomba launched in 2002 and iRobot reported five million home robots sold just after the 2009 year-end; this confirms a substantial pre-deadline product category. The existence/emergence claim was met. Later broader adoption does not retroactively invalidate the accurate early-stage description.</x:v>
      </x:c>
      <x:c r="J182" s="4" t="str"/>
      <x:c r="K182" s="4" t="str">
        <x:v>REFERENCE_READING</x:v>
      </x:c>
      <x:c r="L182" s="4" t="str">
        <x:v>https://investor.irobot.com/news-releases/news-release-details/irobot-achieves-milestone-home-robot-market
https://ifr.org/ifr-press-releases/news/service-robots-record-sales-worldwide-up-32</x:v>
      </x:c>
    </x:row>
    <x:row r="183" ht="150" customHeight="1">
      <x:c r="A183" s="4" t="str">
        <x:v>K061</x:v>
      </x:c>
      <x:c r="B183" s="4" t="str">
        <x:v>strict</x:v>
      </x:c>
      <x:c r="C183" s="4" t="str">
        <x:v>Useful household robots are commercially established but not yet universally accepted.</x:v>
      </x:c>
      <x:c r="D183" s="4" t="n">
        <x:v>2009</x:v>
      </x:c>
      <x:c r="E183" s="4" t="str">
        <x:v>FULFILLED</x:v>
      </x:c>
      <x:c r="F183" s="4" t="str">
        <x:v>FULFILLED</x:v>
      </x:c>
      <x:c r="G183" s="4" t="str">
        <x:v>CORRECT</x:v>
      </x:c>
      <x:c r="H183" s="4" t="n">
        <x:v>1</x:v>
      </x:c>
      <x:c r="I183" s="4" t="str">
        <x:v>Roomba launched in 2002 and iRobot reported five million home robots sold just after the 2009 year-end; this confirms a substantial pre-deadline product category. The existence/emergence claim was met. Later broader adoption does not retroactively invalidate the accurate early-stage description.</x:v>
      </x:c>
      <x:c r="J183" s="4" t="str"/>
      <x:c r="K183" s="4" t="str">
        <x:v>REFERENCE_READING</x:v>
      </x:c>
      <x:c r="L183" s="4" t="str">
        <x:v>https://investor.irobot.com/news-releases/news-release-details/irobot-achieves-milestone-home-robot-market
https://ifr.org/ifr-press-releases/news/service-robots-record-sales-worldwide-up-32</x:v>
      </x:c>
    </x:row>
    <x:row r="184" ht="150" customHeight="1">
      <x:c r="A184" s="4" t="str">
        <x:v>K061</x:v>
      </x:c>
      <x:c r="B184" s="4" t="str">
        <x:v>broader</x:v>
      </x:c>
      <x:c r="C184" s="4" t="str">
        <x:v>Useful household robots are commercially established but not yet universally accepted.</x:v>
      </x:c>
      <x:c r="D184" s="4" t="n">
        <x:v>2009</x:v>
      </x:c>
      <x:c r="E184" s="4" t="str">
        <x:v>FULFILLED</x:v>
      </x:c>
      <x:c r="F184" s="4" t="str">
        <x:v>FULFILLED</x:v>
      </x:c>
      <x:c r="G184" s="4" t="str">
        <x:v>CORRECT</x:v>
      </x:c>
      <x:c r="H184" s="4" t="n">
        <x:v>1</x:v>
      </x:c>
      <x:c r="I184" s="4" t="str">
        <x:v>Roomba launched in 2002 and iRobot reported five million home robots sold just after the 2009 year-end; this confirms a substantial pre-deadline product category. The existence/emergence claim was met. Later broader adoption does not retroactively invalidate the accurate early-stage description.</x:v>
      </x:c>
      <x:c r="J184" s="4" t="str"/>
      <x:c r="K184" s="4" t="str">
        <x:v>REFERENCE_READING</x:v>
      </x:c>
      <x:c r="L184" s="4" t="str">
        <x:v>https://investor.irobot.com/news-releases/news-release-details/irobot-achieves-milestone-home-robot-market
https://ifr.org/ifr-press-releases/news/service-robots-record-sales-worldwide-up-32</x:v>
      </x:c>
    </x:row>
    <x:row r="185" ht="150" customHeight="1">
      <x:c r="A185" s="4" t="str">
        <x:v>K062</x:v>
      </x:c>
      <x:c r="B185" s="4" t="str">
        <x:v>reference</x:v>
      </x:c>
      <x:c r="C185" s="4" t="str">
        <x:v>Remote examinations using sight, sound and tactile sensing are widely used.</x:v>
      </x:c>
      <x:c r="D185" s="4" t="n">
        <x:v>2009</x:v>
      </x:c>
      <x:c r="E185" s="4" t="str">
        <x:v>PARTLY_FULFILLED</x:v>
      </x:c>
      <x:c r="F185" s="4" t="str">
        <x:v>PARTLY_FULFILLED</x:v>
      </x:c>
      <x:c r="G185" s="4" t="str">
        <x:v>PARTIAL</x:v>
      </x:c>
      <x:c r="H185" s="4" t="n">
        <x:v>1</x:v>
      </x:c>
      <x:c r="I185" s="4" t="str">
        <x:v>Audio/video telemedicine and remote-device demonstrations did not make the full visual-auditory-haptic package widespread in 2009. The 37% US adult telemedicine-use figure for 2021 establishes ordinary audio/video care, but not widespread remotely conveyed tactile examination.</x:v>
      </x:c>
      <x:c r="J185" s="4" t="str"/>
      <x:c r="K185" s="4" t="str">
        <x:v>REFERENCE_READING</x:v>
      </x:c>
      <x:c r="L185" s="4" t="str">
        <x:v>https://www.cdc.gov/nchs/products/databriefs/db445.htm
https://journals.sagepub.com/doi/10.1068/d394t</x:v>
      </x:c>
    </x:row>
    <x:row r="186" ht="150" customHeight="1">
      <x:c r="A186" s="4" t="str">
        <x:v>K062</x:v>
      </x:c>
      <x:c r="B186" s="4" t="str">
        <x:v>strict</x:v>
      </x:c>
      <x:c r="C186" s="4" t="str">
        <x:v>Remote examinations using sight, sound and tactile sensing are widely used.</x:v>
      </x:c>
      <x:c r="D186" s="4" t="n">
        <x:v>2009</x:v>
      </x:c>
      <x:c r="E186" s="4" t="str">
        <x:v>PARTLY_FULFILLED</x:v>
      </x:c>
      <x:c r="F186" s="4" t="str">
        <x:v>PARTLY_FULFILLED</x:v>
      </x:c>
      <x:c r="G186" s="4" t="str">
        <x:v>PARTIAL</x:v>
      </x:c>
      <x:c r="H186" s="4" t="n">
        <x:v>1</x:v>
      </x:c>
      <x:c r="I186" s="4" t="str">
        <x:v>Audio/video telemedicine and remote-device demonstrations did not make the full visual-auditory-haptic package widespread in 2009. The 37% US adult telemedicine-use figure for 2021 establishes ordinary audio/video care, but not widespread remotely conveyed tactile examination.</x:v>
      </x:c>
      <x:c r="J186" s="4" t="str"/>
      <x:c r="K186" s="4" t="str">
        <x:v>REFERENCE_READING</x:v>
      </x:c>
      <x:c r="L186" s="4" t="str">
        <x:v>https://www.cdc.gov/nchs/products/databriefs/db445.htm
https://journals.sagepub.com/doi/10.1068/d394t</x:v>
      </x:c>
    </x:row>
    <x:row r="187" ht="150" customHeight="1">
      <x:c r="A187" s="4" t="str">
        <x:v>K062</x:v>
      </x:c>
      <x:c r="B187" s="4" t="str">
        <x:v>broader</x:v>
      </x:c>
      <x:c r="C187" s="4" t="str">
        <x:v>Visual/audio telemedicine is widely used, with tactile capability an optional extension.</x:v>
      </x:c>
      <x:c r="D187" s="4" t="n">
        <x:v>2009</x:v>
      </x:c>
      <x:c r="E187" s="4" t="str">
        <x:v>PARTLY_FULFILLED</x:v>
      </x:c>
      <x:c r="F187" s="4" t="str">
        <x:v>FULFILLED</x:v>
      </x:c>
      <x:c r="G187" s="4" t="str">
        <x:v>LATE</x:v>
      </x:c>
      <x:c r="H187" s="4" t="n">
        <x:v>1</x:v>
      </x:c>
      <x:c r="I187" s="4" t="str">
        <x:v>Audio/video use reached an unmistakably common level by 2021.</x:v>
      </x:c>
      <x:c r="J187" s="4" t="str">
        <x:v>Widespread haptic examination</x:v>
      </x:c>
      <x:c r="K187" s="4" t="str">
        <x:v>ALTERNATIVE_READING</x:v>
      </x:c>
      <x:c r="L187" s="4" t="str">
        <x:v>https://www.cdc.gov/nchs/products/databriefs/db445.htm
https://journals.sagepub.com/doi/10.1068/d394t</x:v>
      </x:c>
    </x:row>
    <x:row r="188" ht="150" customHeight="1">
      <x:c r="A188" s="4" t="str">
        <x:v>K063</x:v>
      </x:c>
      <x:c r="B188" s="4" t="str">
        <x:v>reference</x:v>
      </x:c>
      <x:c r="C188" s="4" t="str">
        <x:v>Computer pattern recognition is used routinely in important diagnostic imaging workflows.</x:v>
      </x:c>
      <x:c r="D188" s="4" t="n">
        <x:v>2009</x:v>
      </x:c>
      <x:c r="E188" s="4" t="str">
        <x:v>FULFILLED</x:v>
      </x:c>
      <x:c r="F188" s="4" t="str">
        <x:v>FULFILLED</x:v>
      </x:c>
      <x:c r="G188" s="4" t="str">
        <x:v>CORRECT</x:v>
      </x:c>
      <x:c r="H188" s="4" t="n">
        <x:v>1</x:v>
      </x:c>
      <x:c r="I188" s="4" t="str">
        <x:v>Computer-aided detection accompanied 74% of Medicare screening mammograms in 2008, a concrete routine clinical workflow. This fulfills routine use even though CAD does not always improve outcomes. It does not require autonomous diagnosis in every specialty.</x:v>
      </x:c>
      <x:c r="J188" s="4" t="str"/>
      <x:c r="K188" s="4" t="str">
        <x:v>REFERENCE_READING</x:v>
      </x:c>
      <x:c r="L188" s="4" t="str">
        <x:v>https://www.sciencedirect.com/science/article/abs/pii/S1546144010002735</x:v>
      </x:c>
    </x:row>
    <x:row r="189" ht="150" customHeight="1">
      <x:c r="A189" s="4" t="str">
        <x:v>K063</x:v>
      </x:c>
      <x:c r="B189" s="4" t="str">
        <x:v>strict</x:v>
      </x:c>
      <x:c r="C189" s="4" t="str">
        <x:v>Computer pattern recognition is used routinely in important diagnostic imaging workflows.</x:v>
      </x:c>
      <x:c r="D189" s="4" t="n">
        <x:v>2009</x:v>
      </x:c>
      <x:c r="E189" s="4" t="str">
        <x:v>FULFILLED</x:v>
      </x:c>
      <x:c r="F189" s="4" t="str">
        <x:v>FULFILLED</x:v>
      </x:c>
      <x:c r="G189" s="4" t="str">
        <x:v>CORRECT</x:v>
      </x:c>
      <x:c r="H189" s="4" t="n">
        <x:v>1</x:v>
      </x:c>
      <x:c r="I189" s="4" t="str">
        <x:v>Computer-aided detection accompanied 74% of Medicare screening mammograms in 2008, a concrete routine clinical workflow. This fulfills routine use even though CAD does not always improve outcomes. It does not require autonomous diagnosis in every specialty.</x:v>
      </x:c>
      <x:c r="J189" s="4" t="str"/>
      <x:c r="K189" s="4" t="str">
        <x:v>REFERENCE_READING</x:v>
      </x:c>
      <x:c r="L189" s="4" t="str">
        <x:v>https://www.sciencedirect.com/science/article/abs/pii/S1546144010002735</x:v>
      </x:c>
    </x:row>
    <x:row r="190" ht="150" customHeight="1">
      <x:c r="A190" s="4" t="str">
        <x:v>K063</x:v>
      </x:c>
      <x:c r="B190" s="4" t="str">
        <x:v>broader</x:v>
      </x:c>
      <x:c r="C190" s="4" t="str">
        <x:v>Computer pattern recognition is used routinely in important diagnostic imaging workflows.</x:v>
      </x:c>
      <x:c r="D190" s="4" t="n">
        <x:v>2009</x:v>
      </x:c>
      <x:c r="E190" s="4" t="str">
        <x:v>FULFILLED</x:v>
      </x:c>
      <x:c r="F190" s="4" t="str">
        <x:v>FULFILLED</x:v>
      </x:c>
      <x:c r="G190" s="4" t="str">
        <x:v>CORRECT</x:v>
      </x:c>
      <x:c r="H190" s="4" t="n">
        <x:v>1</x:v>
      </x:c>
      <x:c r="I190" s="4" t="str">
        <x:v>Computer-aided detection accompanied 74% of Medicare screening mammograms in 2008, a concrete routine clinical workflow. This fulfills routine use even though CAD does not always improve outcomes. It does not require autonomous diagnosis in every specialty.</x:v>
      </x:c>
      <x:c r="J190" s="4" t="str"/>
      <x:c r="K190" s="4" t="str">
        <x:v>REFERENCE_READING</x:v>
      </x:c>
      <x:c r="L190" s="4" t="str">
        <x:v>https://www.sciencedirect.com/science/article/abs/pii/S1546144010002735</x:v>
      </x:c>
    </x:row>
    <x:row r="191" ht="150" customHeight="1">
      <x:c r="A191" s="4" t="str">
        <x:v>K064</x:v>
      </x:c>
      <x:c r="B191" s="4" t="str">
        <x:v>reference</x:v>
      </x:c>
      <x:c r="C191" s="4" t="str">
        <x:v>Longitudinal patient histories are ordinarily kept digitally; “lifetime” means accumulating records over a patient’s life, not retroactive digitization of every scrap.</x:v>
      </x:c>
      <x:c r="D191" s="4" t="n">
        <x:v>2009</x:v>
      </x:c>
      <x:c r="E191" s="4" t="str">
        <x:v>PARTLY_FULFILLED</x:v>
      </x:c>
      <x:c r="F191" s="4" t="str">
        <x:v>FULFILLED</x:v>
      </x:c>
      <x:c r="G191" s="4" t="str">
        <x:v>LATE</x:v>
      </x:c>
      <x:c r="H191" s="4" t="n">
        <x:v>1</x:v>
      </x:c>
      <x:c r="I191" s="4" t="str">
        <x:v>EHR adoption was still low in the 2008–2009 US baseline, so ordinary digital longitudinal records were only partly realized. By 2014 most US hospitals and more than half of physicians had adopted EHRs; subsequent adoption increased. This supports late longitudinal-database fulfillment.</x:v>
      </x:c>
      <x:c r="J191" s="4" t="str"/>
      <x:c r="K191" s="4" t="str">
        <x:v>REFERENCE_READING</x:v>
      </x:c>
      <x:c r="L191" s="4" t="str">
        <x:v>https://healthit.gov/data/quickstats/national-trends-hospital-and-physician-adoption-electronic-health-records/</x:v>
      </x:c>
    </x:row>
    <x:row r="192" ht="150" customHeight="1">
      <x:c r="A192" s="4" t="str">
        <x:v>K064</x:v>
      </x:c>
      <x:c r="B192" s="4" t="str">
        <x:v>strict</x:v>
      </x:c>
      <x:c r="C192" s="4" t="str">
        <x:v>Longitudinal patient histories are ordinarily kept digitally; “lifetime” means accumulating records over a patient’s life, not retroactive digitization of every scrap.</x:v>
      </x:c>
      <x:c r="D192" s="4" t="n">
        <x:v>2009</x:v>
      </x:c>
      <x:c r="E192" s="4" t="str">
        <x:v>PARTLY_FULFILLED</x:v>
      </x:c>
      <x:c r="F192" s="4" t="str">
        <x:v>FULFILLED</x:v>
      </x:c>
      <x:c r="G192" s="4" t="str">
        <x:v>LATE</x:v>
      </x:c>
      <x:c r="H192" s="4" t="n">
        <x:v>1</x:v>
      </x:c>
      <x:c r="I192" s="4" t="str">
        <x:v>EHR adoption was still low in the 2008–2009 US baseline, so ordinary digital longitudinal records were only partly realized. By 2014 most US hospitals and more than half of physicians had adopted EHRs; subsequent adoption increased. This supports late longitudinal-database fulfillment.</x:v>
      </x:c>
      <x:c r="J192" s="4" t="str"/>
      <x:c r="K192" s="4" t="str">
        <x:v>SAME_AS_REFERENCE</x:v>
      </x:c>
      <x:c r="L192" s="4" t="str">
        <x:v>https://healthit.gov/data/quickstats/national-trends-hospital-and-physician-adoption-electronic-health-records/</x:v>
      </x:c>
    </x:row>
    <x:row r="193" ht="150" customHeight="1">
      <x:c r="A193" s="4" t="str">
        <x:v>K064</x:v>
      </x:c>
      <x:c r="B193" s="4" t="str">
        <x:v>broader</x:v>
      </x:c>
      <x:c r="C193" s="4" t="str">
        <x:v>Longitudinal patient histories are ordinarily kept digitally; “lifetime” means accumulating records over a patient’s life, not retroactive digitization of every scrap.</x:v>
      </x:c>
      <x:c r="D193" s="4" t="n">
        <x:v>2009</x:v>
      </x:c>
      <x:c r="E193" s="4" t="str">
        <x:v>PARTLY_FULFILLED</x:v>
      </x:c>
      <x:c r="F193" s="4" t="str">
        <x:v>FULFILLED</x:v>
      </x:c>
      <x:c r="G193" s="4" t="str">
        <x:v>LATE</x:v>
      </x:c>
      <x:c r="H193" s="4" t="n">
        <x:v>1</x:v>
      </x:c>
      <x:c r="I193" s="4" t="str">
        <x:v>EHR adoption was still low in the 2008–2009 US baseline, so ordinary digital longitudinal records were only partly realized. By 2014 most US hospitals and more than half of physicians had adopted EHRs; subsequent adoption increased. This supports late longitudinal-database fulfillment.</x:v>
      </x:c>
      <x:c r="J193" s="4" t="str"/>
      <x:c r="K193" s="4" t="str">
        <x:v>REFERENCE_READING</x:v>
      </x:c>
      <x:c r="L193" s="4" t="str">
        <x:v>https://healthit.gov/data/quickstats/national-trends-hospital-and-physician-adoption-electronic-health-records/</x:v>
      </x:c>
    </x:row>
    <x:row r="194" ht="150" customHeight="1">
      <x:c r="A194" s="4" t="str">
        <x:v>K065</x:v>
      </x:c>
      <x:c r="B194" s="4" t="str">
        <x:v>reference</x:v>
      </x:c>
      <x:c r="C194" s="4" t="str">
        <x:v>Computer screens become the prevailing medium for visual-art creation/presentation, with intelligent software collaboration.</x:v>
      </x:c>
      <x:c r="D194" s="4" t="n">
        <x:v>2009</x:v>
      </x:c>
      <x:c r="E194" s="4" t="str">
        <x:v>PARTLY_FULFILLED</x:v>
      </x:c>
      <x:c r="F194" s="4" t="str">
        <x:v>PARTLY_FULFILLED</x:v>
      </x:c>
      <x:c r="G194" s="4" t="str">
        <x:v>PARTIAL</x:v>
      </x:c>
      <x:c r="H194" s="4" t="n">
        <x:v>1</x:v>
      </x:c>
      <x:c r="I194" s="4" t="str">
        <x:v>Digital art tools were established, but the broad claim of preference across visual art was stronger than the evidence of availability. AI art receives serious recognition, yet painting, sculpture, print and physical display remain important; there is no defensible universal medium-of-choice ranking here.</x:v>
      </x:c>
      <x:c r="J194" s="4" t="str"/>
      <x:c r="K194" s="4" t="str">
        <x:v>REFERENCE_READING</x:v>
      </x:c>
      <x:c r="L194" s="4" t="str">
        <x:v>https://www.christies.com/stories/a-collaboration-between-two-artists-one-human-one-a-machine-0cd01f4e232f4279a525a446d60d4cd1
https://www.thekurzweillibrary.com/images/How-My-Predictions-Are-Faring.pdf</x:v>
      </x:c>
    </x:row>
    <x:row r="195" ht="150" customHeight="1">
      <x:c r="A195" s="4" t="str">
        <x:v>K065</x:v>
      </x:c>
      <x:c r="B195" s="4" t="str">
        <x:v>strict</x:v>
      </x:c>
      <x:c r="C195" s="4" t="str">
        <x:v>Computer screens become the prevailing medium for visual-art creation/presentation, with intelligent software collaboration.</x:v>
      </x:c>
      <x:c r="D195" s="4" t="n">
        <x:v>2009</x:v>
      </x:c>
      <x:c r="E195" s="4" t="str">
        <x:v>PARTLY_FULFILLED</x:v>
      </x:c>
      <x:c r="F195" s="4" t="str">
        <x:v>PARTLY_FULFILLED</x:v>
      </x:c>
      <x:c r="G195" s="4" t="str">
        <x:v>PARTIAL</x:v>
      </x:c>
      <x:c r="H195" s="4" t="n">
        <x:v>1</x:v>
      </x:c>
      <x:c r="I195" s="4" t="str">
        <x:v>Digital art tools were established, but the broad claim of preference across visual art was stronger than the evidence of availability. AI art receives serious recognition, yet painting, sculpture, print and physical display remain important; there is no defensible universal medium-of-choice ranking here.</x:v>
      </x:c>
      <x:c r="J195" s="4" t="str"/>
      <x:c r="K195" s="4" t="str">
        <x:v>REFERENCE_READING</x:v>
      </x:c>
      <x:c r="L195" s="4" t="str">
        <x:v>https://www.christies.com/stories/a-collaboration-between-two-artists-one-human-one-a-machine-0cd01f4e232f4279a525a446d60d4cd1
https://www.thekurzweillibrary.com/images/How-My-Predictions-Are-Faring.pdf</x:v>
      </x:c>
    </x:row>
    <x:row r="196" ht="150" customHeight="1">
      <x:c r="A196" s="4" t="str">
        <x:v>K065</x:v>
      </x:c>
      <x:c r="B196" s="4" t="str">
        <x:v>broader</x:v>
      </x:c>
      <x:c r="C196" s="4" t="str">
        <x:v>Screens and intelligent tools become a normal major medium for visual creativity.</x:v>
      </x:c>
      <x:c r="D196" s="4" t="n">
        <x:v>2009</x:v>
      </x:c>
      <x:c r="E196" s="4" t="str">
        <x:v>FULFILLED</x:v>
      </x:c>
      <x:c r="F196" s="4" t="str">
        <x:v>FULFILLED</x:v>
      </x:c>
      <x:c r="G196" s="4" t="str">
        <x:v>CORRECT</x:v>
      </x:c>
      <x:c r="H196" s="4" t="n">
        <x:v>1</x:v>
      </x:c>
      <x:c r="I196" s="4" t="str">
        <x:v>Digital creation and machine-assisted art clearly meet the less exclusive normal-medium reading.</x:v>
      </x:c>
      <x:c r="J196" s="4" t="str">
        <x:v>Preferred medium across all visual art</x:v>
      </x:c>
      <x:c r="K196" s="4" t="str">
        <x:v>ALTERNATIVE_READING</x:v>
      </x:c>
      <x:c r="L196" s="4" t="str">
        <x:v>https://www.christies.com/stories/a-collaboration-between-two-artists-one-human-one-a-machine-0cd01f4e232f4279a525a446d60d4cd1
https://www.thekurzweillibrary.com/images/How-My-Predictions-Are-Faring.pdf</x:v>
      </x:c>
    </x:row>
    <x:row r="197" ht="150" customHeight="1">
      <x:c r="A197" s="4" t="str">
        <x:v>K066</x:v>
      </x:c>
      <x:c r="B197" s="4" t="str">
        <x:v>reference</x:v>
      </x:c>
      <x:c r="C197" s="4" t="str">
        <x:v>Ordinary people without instrumental training can construct music with software.</x:v>
      </x:c>
      <x:c r="D197" s="4" t="n">
        <x:v>2009</x:v>
      </x:c>
      <x:c r="E197" s="4" t="str">
        <x:v>FULFILLED</x:v>
      </x:c>
      <x:c r="F197" s="4" t="str">
        <x:v>FULFILLED</x:v>
      </x:c>
      <x:c r="G197" s="4" t="str">
        <x:v>CORRECT</x:v>
      </x:c>
      <x:c r="H197" s="4" t="n">
        <x:v>1</x:v>
      </x:c>
      <x:c r="I197" s="4" t="str">
        <x:v>GarageBand’s 2004 loop/instrument tools were explicitly designed to make music creation accessible without conventional musicianship. The functional prediction was met; brain-wave control in the passage is an example, not a condition imposed on all composition.</x:v>
      </x:c>
      <x:c r="J197" s="4" t="str"/>
      <x:c r="K197" s="4" t="str">
        <x:v>REFERENCE_READING</x:v>
      </x:c>
      <x:c r="L197" s="4" t="str">
        <x:v>https://www.apple.com/newsroom/2004/01/06Apple-Announces-iLife-04/</x:v>
      </x:c>
    </x:row>
    <x:row r="198" ht="150" customHeight="1">
      <x:c r="A198" s="4" t="str">
        <x:v>K066</x:v>
      </x:c>
      <x:c r="B198" s="4" t="str">
        <x:v>strict</x:v>
      </x:c>
      <x:c r="C198" s="4" t="str">
        <x:v>Ordinary people without instrumental training can construct music with software.</x:v>
      </x:c>
      <x:c r="D198" s="4" t="n">
        <x:v>2009</x:v>
      </x:c>
      <x:c r="E198" s="4" t="str">
        <x:v>FULFILLED</x:v>
      </x:c>
      <x:c r="F198" s="4" t="str">
        <x:v>FULFILLED</x:v>
      </x:c>
      <x:c r="G198" s="4" t="str">
        <x:v>CORRECT</x:v>
      </x:c>
      <x:c r="H198" s="4" t="n">
        <x:v>1</x:v>
      </x:c>
      <x:c r="I198" s="4" t="str">
        <x:v>GarageBand’s 2004 loop/instrument tools were explicitly designed to make music creation accessible without conventional musicianship. The functional prediction was met; brain-wave control in the passage is an example, not a condition imposed on all composition.</x:v>
      </x:c>
      <x:c r="J198" s="4" t="str"/>
      <x:c r="K198" s="4" t="str">
        <x:v>REFERENCE_READING</x:v>
      </x:c>
      <x:c r="L198" s="4" t="str">
        <x:v>https://www.apple.com/newsroom/2004/01/06Apple-Announces-iLife-04/</x:v>
      </x:c>
    </x:row>
    <x:row r="199" ht="150" customHeight="1">
      <x:c r="A199" s="4" t="str">
        <x:v>K066</x:v>
      </x:c>
      <x:c r="B199" s="4" t="str">
        <x:v>broader</x:v>
      </x:c>
      <x:c r="C199" s="4" t="str">
        <x:v>Ordinary people without instrumental training can construct music with software.</x:v>
      </x:c>
      <x:c r="D199" s="4" t="n">
        <x:v>2009</x:v>
      </x:c>
      <x:c r="E199" s="4" t="str">
        <x:v>FULFILLED</x:v>
      </x:c>
      <x:c r="F199" s="4" t="str">
        <x:v>FULFILLED</x:v>
      </x:c>
      <x:c r="G199" s="4" t="str">
        <x:v>CORRECT</x:v>
      </x:c>
      <x:c r="H199" s="4" t="n">
        <x:v>1</x:v>
      </x:c>
      <x:c r="I199" s="4" t="str">
        <x:v>GarageBand’s 2004 loop/instrument tools were explicitly designed to make music creation accessible without conventional musicianship. The functional prediction was met; brain-wave control in the passage is an example, not a condition imposed on all composition.</x:v>
      </x:c>
      <x:c r="J199" s="4" t="str"/>
      <x:c r="K199" s="4" t="str">
        <x:v>REFERENCE_READING</x:v>
      </x:c>
      <x:c r="L199" s="4" t="str">
        <x:v>https://www.apple.com/newsroom/2004/01/06Apple-Announces-iLife-04/</x:v>
      </x:c>
    </x:row>
    <x:row r="200" ht="150" customHeight="1">
      <x:c r="A200" s="4" t="str">
        <x:v>K067</x:v>
      </x:c>
      <x:c r="B200" s="4" t="str">
        <x:v>reference</x:v>
      </x:c>
      <x:c r="C200" s="4" t="str">
        <x:v>Networked haptics let people touch or manipulate distant objects/other users in limited practical demonstrations.</x:v>
      </x:c>
      <x:c r="D200" s="4" t="n">
        <x:v>2009</x:v>
      </x:c>
      <x:c r="E200" s="4" t="str">
        <x:v>FULFILLED</x:v>
      </x:c>
      <x:c r="F200" s="4" t="str">
        <x:v>FULFILLED</x:v>
      </x:c>
      <x:c r="G200" s="4" t="str">
        <x:v>CORRECT</x:v>
      </x:c>
      <x:c r="H200" s="4" t="n">
        <x:v>1</x:v>
      </x:c>
      <x:c r="I200" s="4" t="str">
        <x:v>The scholarly account of the 2002 Boston–London virtual handshake establishes the emerging capability well before 2009. Further haptics progress preserves this modest success. The stronger full-body tactile claim is separately scored K031.</x:v>
      </x:c>
      <x:c r="J200" s="4" t="str"/>
      <x:c r="K200" s="4" t="str">
        <x:v>REFERENCE_READING</x:v>
      </x:c>
      <x:c r="L200" s="4" t="str">
        <x:v>https://journals.sagepub.com/doi/10.1068/d394t
https://arxiv.org/abs/2508.20831</x:v>
      </x:c>
    </x:row>
    <x:row r="201" ht="150" customHeight="1">
      <x:c r="A201" s="4" t="str">
        <x:v>K067</x:v>
      </x:c>
      <x:c r="B201" s="4" t="str">
        <x:v>strict</x:v>
      </x:c>
      <x:c r="C201" s="4" t="str">
        <x:v>Networked haptics let people touch or manipulate distant objects/other users in limited practical demonstrations.</x:v>
      </x:c>
      <x:c r="D201" s="4" t="n">
        <x:v>2009</x:v>
      </x:c>
      <x:c r="E201" s="4" t="str">
        <x:v>FULFILLED</x:v>
      </x:c>
      <x:c r="F201" s="4" t="str">
        <x:v>FULFILLED</x:v>
      </x:c>
      <x:c r="G201" s="4" t="str">
        <x:v>CORRECT</x:v>
      </x:c>
      <x:c r="H201" s="4" t="n">
        <x:v>1</x:v>
      </x:c>
      <x:c r="I201" s="4" t="str">
        <x:v>The scholarly account of the 2002 Boston–London virtual handshake establishes the emerging capability well before 2009. Further haptics progress preserves this modest success. The stronger full-body tactile claim is separately scored K031.</x:v>
      </x:c>
      <x:c r="J201" s="4" t="str"/>
      <x:c r="K201" s="4" t="str">
        <x:v>REFERENCE_READING</x:v>
      </x:c>
      <x:c r="L201" s="4" t="str">
        <x:v>https://journals.sagepub.com/doi/10.1068/d394t
https://arxiv.org/abs/2508.20831</x:v>
      </x:c>
    </x:row>
    <x:row r="202" ht="150" customHeight="1">
      <x:c r="A202" s="4" t="str">
        <x:v>K067</x:v>
      </x:c>
      <x:c r="B202" s="4" t="str">
        <x:v>broader</x:v>
      </x:c>
      <x:c r="C202" s="4" t="str">
        <x:v>Networked haptics let people touch or manipulate distant objects/other users in limited practical demonstrations.</x:v>
      </x:c>
      <x:c r="D202" s="4" t="n">
        <x:v>2009</x:v>
      </x:c>
      <x:c r="E202" s="4" t="str">
        <x:v>FULFILLED</x:v>
      </x:c>
      <x:c r="F202" s="4" t="str">
        <x:v>FULFILLED</x:v>
      </x:c>
      <x:c r="G202" s="4" t="str">
        <x:v>CORRECT</x:v>
      </x:c>
      <x:c r="H202" s="4" t="n">
        <x:v>1</x:v>
      </x:c>
      <x:c r="I202" s="4" t="str">
        <x:v>The scholarly account of the 2002 Boston–London virtual handshake establishes the emerging capability well before 2009. Further haptics progress preserves this modest success. The stronger full-body tactile claim is separately scored K031.</x:v>
      </x:c>
      <x:c r="J202" s="4" t="str"/>
      <x:c r="K202" s="4" t="str">
        <x:v>REFERENCE_READING</x:v>
      </x:c>
      <x:c r="L202" s="4" t="str">
        <x:v>https://journals.sagepub.com/doi/10.1068/d394t
https://arxiv.org/abs/2508.20831</x:v>
      </x:c>
    </x:row>
    <x:row r="203" ht="150" customHeight="1">
      <x:c r="A203" s="4" t="str">
        <x:v>K068</x:v>
      </x:c>
      <x:c r="B203" s="4" t="str">
        <x:v>reference</x:v>
      </x:c>
      <x:c r="C203" s="4" t="str">
        <x:v>Full-visual-realism virtual environments displace ordinary text chat rooms.</x:v>
      </x:c>
      <x:c r="D203" s="4" t="n">
        <x:v>2009</x:v>
      </x:c>
      <x:c r="E203" s="4" t="str">
        <x:v>NOT_FULFILLED</x:v>
      </x:c>
      <x:c r="F203" s="4" t="str">
        <x:v>NOT_FULFILLED</x:v>
      </x:c>
      <x:c r="G203" s="4" t="str">
        <x:v>WRONG</x:v>
      </x:c>
      <x:c r="H203" s="4" t="n">
        <x:v>1</x:v>
      </x:c>
      <x:c r="I203" s="4" t="str">
        <x:v>Early virtual worlds did not provide full realism or replace mainstream text conversation in 2009. Widely used text-centered collaboration and messaging persist alongside virtual environments. Coexistence is not replacement.</x:v>
      </x:c>
      <x:c r="J203" s="4" t="str"/>
      <x:c r="K203" s="4" t="str">
        <x:v>REFERENCE_READING</x:v>
      </x:c>
      <x:c r="L203" s="4" t="str">
        <x:v>https://www.microsoft.com/en-us/microsoft-365/blog/2019/07/11/microsoft-teams-reaches-13-million-daily-active-users-introduces-4-new-ways-for-teams-to-work-better-together/
https://www.qualcomm.com/news/releases/2019/05/qualcomm-snapdragon-mobile-vr-platform-powers-oculus-quest</x:v>
      </x:c>
    </x:row>
    <x:row r="204" ht="150" customHeight="1">
      <x:c r="A204" s="4" t="str">
        <x:v>K068</x:v>
      </x:c>
      <x:c r="B204" s="4" t="str">
        <x:v>strict</x:v>
      </x:c>
      <x:c r="C204" s="4" t="str">
        <x:v>Full-visual-realism virtual environments displace ordinary text chat rooms.</x:v>
      </x:c>
      <x:c r="D204" s="4" t="n">
        <x:v>2009</x:v>
      </x:c>
      <x:c r="E204" s="4" t="str">
        <x:v>NOT_FULFILLED</x:v>
      </x:c>
      <x:c r="F204" s="4" t="str">
        <x:v>NOT_FULFILLED</x:v>
      </x:c>
      <x:c r="G204" s="4" t="str">
        <x:v>WRONG</x:v>
      </x:c>
      <x:c r="H204" s="4" t="n">
        <x:v>1</x:v>
      </x:c>
      <x:c r="I204" s="4" t="str">
        <x:v>Early virtual worlds did not provide full realism or replace mainstream text conversation in 2009. Widely used text-centered collaboration and messaging persist alongside virtual environments. Coexistence is not replacement.</x:v>
      </x:c>
      <x:c r="J204" s="4" t="str"/>
      <x:c r="K204" s="4" t="str">
        <x:v>REFERENCE_READING</x:v>
      </x:c>
      <x:c r="L204" s="4" t="str">
        <x:v>https://www.microsoft.com/en-us/microsoft-365/blog/2019/07/11/microsoft-teams-reaches-13-million-daily-active-users-introduces-4-new-ways-for-teams-to-work-better-together/
https://www.qualcomm.com/news/releases/2019/05/qualcomm-snapdragon-mobile-vr-platform-powers-oculus-quest</x:v>
      </x:c>
    </x:row>
    <x:row r="205" ht="150" customHeight="1">
      <x:c r="A205" s="4" t="str">
        <x:v>K068</x:v>
      </x:c>
      <x:c r="B205" s="4" t="str">
        <x:v>broader</x:v>
      </x:c>
      <x:c r="C205" s="4" t="str">
        <x:v>Social virtual environments become a usable additional way to meet online.</x:v>
      </x:c>
      <x:c r="D205" s="4" t="n">
        <x:v>2009</x:v>
      </x:c>
      <x:c r="E205" s="4" t="str">
        <x:v>PARTLY_FULFILLED</x:v>
      </x:c>
      <x:c r="F205" s="4" t="str">
        <x:v>FULFILLED</x:v>
      </x:c>
      <x:c r="G205" s="4" t="str">
        <x:v>LATE</x:v>
      </x:c>
      <x:c r="H205" s="4" t="n">
        <x:v>1</x:v>
      </x:c>
      <x:c r="I205" s="4" t="str">
        <x:v>Consumer VR and social virtual environments establish the alternate medium without the replacement or photorealism condition.</x:v>
      </x:c>
      <x:c r="J205" s="4" t="str">
        <x:v>Replacement of text chat; Full visual realism</x:v>
      </x:c>
      <x:c r="K205" s="4" t="str">
        <x:v>ALTERNATIVE_READING</x:v>
      </x:c>
      <x:c r="L205" s="4" t="str">
        <x:v>https://www.microsoft.com/en-us/microsoft-365/blog/2019/07/11/microsoft-teams-reaches-13-million-daily-active-users-introduces-4-new-ways-for-teams-to-work-better-together/
https://www.qualcomm.com/news/releases/2019/05/qualcomm-snapdragon-mobile-vr-platform-powers-oculus-quest</x:v>
      </x:c>
    </x:row>
    <x:row r="206" ht="150" customHeight="1">
      <x:c r="A206" s="4" t="str">
        <x:v>K069</x:v>
      </x:c>
      <x:c r="B206" s="4" t="str">
        <x:v>reference</x:v>
      </x:c>
      <x:c r="C206" s="4" t="str">
        <x:v>Wireless personal calls routinely include usable live video, not merely an experimental video phone.</x:v>
      </x:c>
      <x:c r="D206" s="4" t="n">
        <x:v>2009</x:v>
      </x:c>
      <x:c r="E206" s="4" t="str">
        <x:v>PARTLY_FULFILLED</x:v>
      </x:c>
      <x:c r="F206" s="4" t="str">
        <x:v>FULFILLED</x:v>
      </x:c>
      <x:c r="G206" s="4" t="str">
        <x:v>LATE</x:v>
      </x:c>
      <x:c r="H206" s="4" t="n">
        <x:v>1</x:v>
      </x:c>
      <x:c r="I206" s="4" t="str">
        <x:v>Wireless voice and webcam meetings were real, but ordinary handset video calling was not yet routine in 2009. Integrated phone cameras, mobile video services and established consumer communication platforms make the function ordinary by the 2010s.</x:v>
      </x:c>
      <x:c r="J206" s="4" t="str"/>
      <x:c r="K206" s="4" t="str">
        <x:v>REFERENCE_READING</x:v>
      </x:c>
      <x:c r="L206" s="4" t="str">
        <x:v>https://newsroom.cisco.com/c/r/newsroom/en/us/a/y2007/m03/cisco-announces-agreement-to-acquire-webex.html
https://www.apple.com/newsroom/2017/09/the-future-is-here-iphone-x/
https://www.microsoft.com/en-us/microsoft-365/blog/2019/07/11/microsoft-teams-reaches-13-million-daily-active-users-introduces-4-new-ways-for-teams-to-work-better-together/</x:v>
      </x:c>
    </x:row>
    <x:row r="207" ht="150" customHeight="1">
      <x:c r="A207" s="4" t="str">
        <x:v>K069</x:v>
      </x:c>
      <x:c r="B207" s="4" t="str">
        <x:v>strict</x:v>
      </x:c>
      <x:c r="C207" s="4" t="str">
        <x:v>Wireless personal calls routinely include usable live video, not merely an experimental video phone.</x:v>
      </x:c>
      <x:c r="D207" s="4" t="n">
        <x:v>2009</x:v>
      </x:c>
      <x:c r="E207" s="4" t="str">
        <x:v>PARTLY_FULFILLED</x:v>
      </x:c>
      <x:c r="F207" s="4" t="str">
        <x:v>FULFILLED</x:v>
      </x:c>
      <x:c r="G207" s="4" t="str">
        <x:v>LATE</x:v>
      </x:c>
      <x:c r="H207" s="4" t="n">
        <x:v>1</x:v>
      </x:c>
      <x:c r="I207" s="4" t="str">
        <x:v>Wireless voice and webcam meetings were real, but ordinary handset video calling was not yet routine in 2009. Integrated phone cameras, mobile video services and established consumer communication platforms make the function ordinary by the 2010s.</x:v>
      </x:c>
      <x:c r="J207" s="4" t="str"/>
      <x:c r="K207" s="4" t="str">
        <x:v>REFERENCE_READING</x:v>
      </x:c>
      <x:c r="L207" s="4" t="str">
        <x:v>https://newsroom.cisco.com/c/r/newsroom/en/us/a/y2007/m03/cisco-announces-agreement-to-acquire-webex.html
https://www.apple.com/newsroom/2017/09/the-future-is-here-iphone-x/
https://www.microsoft.com/en-us/microsoft-365/blog/2019/07/11/microsoft-teams-reaches-13-million-daily-active-users-introduces-4-new-ways-for-teams-to-work-better-together/</x:v>
      </x:c>
    </x:row>
    <x:row r="208" ht="150" customHeight="1">
      <x:c r="A208" s="4" t="str">
        <x:v>K069</x:v>
      </x:c>
      <x:c r="B208" s="4" t="str">
        <x:v>broader</x:v>
      </x:c>
      <x:c r="C208" s="4" t="str">
        <x:v>Wireless personal calls routinely include usable live video, not merely an experimental video phone.</x:v>
      </x:c>
      <x:c r="D208" s="4" t="n">
        <x:v>2009</x:v>
      </x:c>
      <x:c r="E208" s="4" t="str">
        <x:v>PARTLY_FULFILLED</x:v>
      </x:c>
      <x:c r="F208" s="4" t="str">
        <x:v>FULFILLED</x:v>
      </x:c>
      <x:c r="G208" s="4" t="str">
        <x:v>LATE</x:v>
      </x:c>
      <x:c r="H208" s="4" t="n">
        <x:v>1</x:v>
      </x:c>
      <x:c r="I208" s="4" t="str">
        <x:v>Wireless voice and webcam meetings were real, but ordinary handset video calling was not yet routine in 2009. Integrated phone cameras, mobile video services and established consumer communication platforms make the function ordinary by the 2010s.</x:v>
      </x:c>
      <x:c r="J208" s="4" t="str"/>
      <x:c r="K208" s="4" t="str">
        <x:v>REFERENCE_READING</x:v>
      </x:c>
      <x:c r="L208" s="4" t="str">
        <x:v>https://newsroom.cisco.com/c/r/newsroom/en/us/a/y2007/m03/cisco-announces-agreement-to-acquire-webex.html
https://www.apple.com/newsroom/2017/09/the-future-is-here-iphone-x/
https://www.microsoft.com/en-us/microsoft-365/blog/2019/07/11/microsoft-teams-reaches-13-million-daily-active-users-introduces-4-new-ways-for-teams-to-work-better-together/</x:v>
      </x:c>
    </x:row>
    <x:row r="209" ht="150" customHeight="1">
      <x:c r="A209" s="4" t="str">
        <x:v>K070</x:v>
      </x:c>
      <x:c r="B209" s="4" t="str">
        <x:v>reference</x:v>
      </x:c>
      <x:c r="C209" s="4" t="str">
        <x:v>Rotating magnetic and optical computer storage is fully replaced by electronic storage.</x:v>
      </x:c>
      <x:c r="D209" s="4" t="n">
        <x:v>2019</x:v>
      </x:c>
      <x:c r="E209" s="4" t="str">
        <x:v>NOT_FULFILLED</x:v>
      </x:c>
      <x:c r="F209" s="4" t="str">
        <x:v>NOT_FULFILLED</x:v>
      </x:c>
      <x:c r="G209" s="4" t="str">
        <x:v>WRONG</x:v>
      </x:c>
      <x:c r="H209" s="4" t="n">
        <x:v>1</x:v>
      </x:c>
      <x:c r="I209" s="4" t="str">
        <x:v>Hard drives remained substantial in 2019; solid-state adoption did not amount to full replacement. Seagate’s 2026 32 TB drive rollout provides a direct current counterexample. “Fully replaced” is genuinely stronger than “widely available.”</x:v>
      </x:c>
      <x:c r="J209" s="4" t="str"/>
      <x:c r="K209" s="4" t="str">
        <x:v>REFERENCE_READING</x:v>
      </x:c>
      <x:c r="L209" s="4" t="str">
        <x:v>https://www.seagate.com/stories/articles/seagate-32TB-capacities-now-shipping-to-channel-and-retail-partners-globally/</x:v>
      </x:c>
    </x:row>
    <x:row r="210" ht="150" customHeight="1">
      <x:c r="A210" s="4" t="str">
        <x:v>K070</x:v>
      </x:c>
      <x:c r="B210" s="4" t="str">
        <x:v>strict</x:v>
      </x:c>
      <x:c r="C210" s="4" t="str">
        <x:v>Rotating magnetic and optical computer storage is fully replaced by electronic storage.</x:v>
      </x:c>
      <x:c r="D210" s="4" t="n">
        <x:v>2019</x:v>
      </x:c>
      <x:c r="E210" s="4" t="str">
        <x:v>NOT_FULFILLED</x:v>
      </x:c>
      <x:c r="F210" s="4" t="str">
        <x:v>NOT_FULFILLED</x:v>
      </x:c>
      <x:c r="G210" s="4" t="str">
        <x:v>WRONG</x:v>
      </x:c>
      <x:c r="H210" s="4" t="n">
        <x:v>1</x:v>
      </x:c>
      <x:c r="I210" s="4" t="str">
        <x:v>Hard drives remained substantial in 2019; solid-state adoption did not amount to full replacement. Seagate’s 2026 32 TB drive rollout provides a direct current counterexample. “Fully replaced” is genuinely stronger than “widely available.”</x:v>
      </x:c>
      <x:c r="J210" s="4" t="str"/>
      <x:c r="K210" s="4" t="str">
        <x:v>REFERENCE_READING</x:v>
      </x:c>
      <x:c r="L210" s="4" t="str">
        <x:v>https://www.seagate.com/stories/articles/seagate-32TB-capacities-now-shipping-to-channel-and-retail-partners-globally/</x:v>
      </x:c>
    </x:row>
    <x:row r="211" ht="150" customHeight="1">
      <x:c r="A211" s="4" t="str">
        <x:v>K070</x:v>
      </x:c>
      <x:c r="B211" s="4" t="str">
        <x:v>broader</x:v>
      </x:c>
      <x:c r="C211" s="4" t="str">
        <x:v>Solid-state storage dominates pocket devices and becomes a major PC storage format.</x:v>
      </x:c>
      <x:c r="D211" s="4" t="n">
        <x:v>2019</x:v>
      </x:c>
      <x:c r="E211" s="4" t="str">
        <x:v>FULFILLED</x:v>
      </x:c>
      <x:c r="F211" s="4" t="str">
        <x:v>FULFILLED</x:v>
      </x:c>
      <x:c r="G211" s="4" t="str">
        <x:v>CORRECT</x:v>
      </x:c>
      <x:c r="H211" s="4" t="n">
        <x:v>1</x:v>
      </x:c>
      <x:c r="I211" s="4" t="str">
        <x:v>The broader direction is correct, but drops the explicit end of rotating storage.</x:v>
      </x:c>
      <x:c r="J211" s="4" t="str">
        <x:v>Full replacement across computing</x:v>
      </x:c>
      <x:c r="K211" s="4" t="str">
        <x:v>ALTERNATIVE_READING</x:v>
      </x:c>
      <x:c r="L211" s="4" t="str">
        <x:v>https://www.seagate.com/stories/articles/seagate-32TB-capacities-now-shipping-to-channel-and-retail-partners-globally/</x:v>
      </x:c>
    </x:row>
    <x:row r="212" ht="150" customHeight="1">
      <x:c r="A212" s="4" t="str">
        <x:v>K071</x:v>
      </x:c>
      <x:c r="B212" s="4" t="str">
        <x:v>reference</x:v>
      </x:c>
      <x:c r="C212" s="4" t="str">
        <x:v>Three-dimensional carbon-nanotube lattices are a prevalent computing-circuit technology.</x:v>
      </x:c>
      <x:c r="D212" s="4" t="n">
        <x:v>2019</x:v>
      </x:c>
      <x:c r="E212" s="4" t="str">
        <x:v>NOT_FULFILLED</x:v>
      </x:c>
      <x:c r="F212" s="4" t="str">
        <x:v>NOT_FULFILLED</x:v>
      </x:c>
      <x:c r="G212" s="4" t="str">
        <x:v>WRONG</x:v>
      </x:c>
      <x:c r="H212" s="4" t="n">
        <x:v>1</x:v>
      </x:c>
      <x:c r="I212" s="4" t="str">
        <x:v>MIT’s 2019 carbon-nanotube processor was a research prototype, not the prevalent industrial circuit architecture. Carbon-nanotube research is not evidence of dominant production adoption. The forecast’s material choice was not realized by ordinary silicon scaling.</x:v>
      </x:c>
      <x:c r="J212" s="4" t="str"/>
      <x:c r="K212" s="4" t="str">
        <x:v>REFERENCE_READING</x:v>
      </x:c>
      <x:c r="L212" s="4" t="str">
        <x:v>https://news.mit.edu/2019/carbon-nanotubes-microprocessor-0828
https://www.nvidia.com/en-us/geforce/graphics-cards/50-series/rtx-5080/</x:v>
      </x:c>
    </x:row>
    <x:row r="213" ht="150" customHeight="1">
      <x:c r="A213" s="4" t="str">
        <x:v>K071</x:v>
      </x:c>
      <x:c r="B213" s="4" t="str">
        <x:v>strict</x:v>
      </x:c>
      <x:c r="C213" s="4" t="str">
        <x:v>Three-dimensional carbon-nanotube lattices are a prevalent computing-circuit technology.</x:v>
      </x:c>
      <x:c r="D213" s="4" t="n">
        <x:v>2019</x:v>
      </x:c>
      <x:c r="E213" s="4" t="str">
        <x:v>NOT_FULFILLED</x:v>
      </x:c>
      <x:c r="F213" s="4" t="str">
        <x:v>NOT_FULFILLED</x:v>
      </x:c>
      <x:c r="G213" s="4" t="str">
        <x:v>WRONG</x:v>
      </x:c>
      <x:c r="H213" s="4" t="n">
        <x:v>1</x:v>
      </x:c>
      <x:c r="I213" s="4" t="str">
        <x:v>MIT’s 2019 carbon-nanotube processor was a research prototype, not the prevalent industrial circuit architecture. Carbon-nanotube research is not evidence of dominant production adoption. The forecast’s material choice was not realized by ordinary silicon scaling.</x:v>
      </x:c>
      <x:c r="J213" s="4" t="str"/>
      <x:c r="K213" s="4" t="str">
        <x:v>REFERENCE_READING</x:v>
      </x:c>
      <x:c r="L213" s="4" t="str">
        <x:v>https://news.mit.edu/2019/carbon-nanotubes-microprocessor-0828
https://www.nvidia.com/en-us/geforce/graphics-cards/50-series/rtx-5080/</x:v>
      </x:c>
    </x:row>
    <x:row r="214" ht="150" customHeight="1">
      <x:c r="A214" s="4" t="str">
        <x:v>K071</x:v>
      </x:c>
      <x:c r="B214" s="4" t="str">
        <x:v>broader</x:v>
      </x:c>
      <x:c r="C214" s="4" t="str">
        <x:v>Three-dimensional semiconductor structures become an important commercial technology regardless of material.</x:v>
      </x:c>
      <x:c r="D214" s="4" t="n">
        <x:v>2019</x:v>
      </x:c>
      <x:c r="E214" s="4" t="str">
        <x:v>FULFILLED</x:v>
      </x:c>
      <x:c r="F214" s="4" t="str">
        <x:v>FULFILLED</x:v>
      </x:c>
      <x:c r="G214" s="4" t="str">
        <x:v>CORRECT</x:v>
      </x:c>
      <x:c r="H214" s="4" t="n">
        <x:v>1</x:v>
      </x:c>
      <x:c r="I214" s="4" t="str">
        <x:v>3D NAND realizes that relaxed direction, but silicon multilayer storage is not nanotube-lattice computation.</x:v>
      </x:c>
      <x:c r="J214" s="4" t="str">
        <x:v>Carbon-nanotube material and lattice architecture</x:v>
      </x:c>
      <x:c r="K214" s="4" t="str">
        <x:v>ALTERNATIVE_READING</x:v>
      </x:c>
      <x:c r="L214" s="4" t="str">
        <x:v>https://news.mit.edu/2019/carbon-nanotubes-microprocessor-0828
https://www.nvidia.com/en-us/geforce/graphics-cards/50-series/rtx-5080/</x:v>
      </x:c>
    </x:row>
    <x:row r="215" ht="150" customHeight="1">
      <x:c r="A215" s="4" t="str">
        <x:v>K072</x:v>
      </x:c>
      <x:c r="B215" s="4" t="str">
        <x:v>reference</x:v>
      </x:c>
      <x:c r="C215" s="4" t="str">
        <x:v>Neural networks and genetic algorithms account for more than half of computing work across the intended general computing population.</x:v>
      </x:c>
      <x:c r="D215" s="4" t="n">
        <x:v>2019</x:v>
      </x:c>
      <x:c r="E215" s="4" t="str">
        <x:v>NOT_FULFILLED</x:v>
      </x:c>
      <x:c r="F215" s="4" t="str">
        <x:v>PARTLY_FULFILLED</x:v>
      </x:c>
      <x:c r="G215" s="4" t="str">
        <x:v>PARTIAL</x:v>
      </x:c>
      <x:c r="H215" s="4" t="n">
        <x:v>1</x:v>
      </x:c>
      <x:c r="I215" s="4" t="str">
        <x:v>Important neural successes by 2019 did not establish majority use across all computation. AI compute has become a major workload, but a global majority depends on the population and unit of work. The directional expansion is substantial; the literal aggregate threshold is not established.</x:v>
      </x:c>
      <x:c r="J215" s="4" t="str"/>
      <x:c r="K215" s="4" t="str">
        <x:v>REFERENCE_READING</x:v>
      </x:c>
      <x:c r="L215" s="4" t="str">
        <x:v>https://papers.nips.cc/paper/4824-imagenet-classification-with-deep-convolutional-neural-networks
https://investor.nvidia.com/news/press-release-details/2025/NVIDIA-Blackwell-GeForce-RTX-50-Series-Opens-New-World-of-AI-Computer-Graphics/default.aspx
https://cloud.google.com/blog/products/ai-machine-learning/announcing-agents-to-payments-ap2-protocol</x:v>
      </x:c>
    </x:row>
    <x:row r="216" ht="150" customHeight="1">
      <x:c r="A216" s="4" t="str">
        <x:v>K072</x:v>
      </x:c>
      <x:c r="B216" s="4" t="str">
        <x:v>strict</x:v>
      </x:c>
      <x:c r="C216" s="4" t="str">
        <x:v>Neural networks and genetic algorithms account for more than half of computing work across the intended general computing population.</x:v>
      </x:c>
      <x:c r="D216" s="4" t="n">
        <x:v>2019</x:v>
      </x:c>
      <x:c r="E216" s="4" t="str">
        <x:v>NOT_FULFILLED</x:v>
      </x:c>
      <x:c r="F216" s="4" t="str">
        <x:v>PARTLY_FULFILLED</x:v>
      </x:c>
      <x:c r="G216" s="4" t="str">
        <x:v>PARTIAL</x:v>
      </x:c>
      <x:c r="H216" s="4" t="n">
        <x:v>1</x:v>
      </x:c>
      <x:c r="I216" s="4" t="str">
        <x:v>Important neural successes by 2019 did not establish majority use across all computation. AI compute has become a major workload, but a global majority depends on the population and unit of work. The directional expansion is substantial; the literal aggregate threshold is not established.</x:v>
      </x:c>
      <x:c r="J216" s="4" t="str"/>
      <x:c r="K216" s="4" t="str">
        <x:v>REFERENCE_READING</x:v>
      </x:c>
      <x:c r="L216" s="4" t="str">
        <x:v>https://papers.nips.cc/paper/4824-imagenet-classification-with-deep-convolutional-neural-networks
https://investor.nvidia.com/news/press-release-details/2025/NVIDIA-Blackwell-GeForce-RTX-50-Series-Opens-New-World-of-AI-Computer-Graphics/default.aspx
https://cloud.google.com/blog/products/ai-machine-learning/announcing-agents-to-payments-ap2-protocol</x:v>
      </x:c>
    </x:row>
    <x:row r="217" ht="150" customHeight="1">
      <x:c r="A217" s="4" t="str">
        <x:v>K072</x:v>
      </x:c>
      <x:c r="B217" s="4" t="str">
        <x:v>broader</x:v>
      </x:c>
      <x:c r="C217" s="4" t="str">
        <x:v>Massively parallel neural computation becomes central to frontier AI and a major driver of hardware.</x:v>
      </x:c>
      <x:c r="D217" s="4" t="n">
        <x:v>2019</x:v>
      </x:c>
      <x:c r="E217" s="4" t="str">
        <x:v>FULFILLED</x:v>
      </x:c>
      <x:c r="F217" s="4" t="str">
        <x:v>FULFILLED</x:v>
      </x:c>
      <x:c r="G217" s="4" t="str">
        <x:v>CORRECT</x:v>
      </x:c>
      <x:c r="H217" s="4" t="n">
        <x:v>1</x:v>
      </x:c>
      <x:c r="I217" s="4" t="str">
        <x:v>The narrower AI-industry population clearly satisfies central importance by 2019.</x:v>
      </x:c>
      <x:c r="J217" s="4" t="str">
        <x:v>All computing narrowed to frontier AI; Majority threshold narrowed to central importance</x:v>
      </x:c>
      <x:c r="K217" s="4" t="str">
        <x:v>ALTERNATIVE_READING</x:v>
      </x:c>
      <x:c r="L217" s="4" t="str">
        <x:v>https://papers.nips.cc/paper/4824-imagenet-classification-with-deep-convolutional-neural-networks
https://investor.nvidia.com/news/press-release-details/2025/NVIDIA-Blackwell-GeForce-RTX-50-Series-Opens-New-World-of-AI-Computer-Graphics/default.aspx
https://cloud.google.com/blog/products/ai-machine-learning/announcing-agents-to-payments-ap2-protocol</x:v>
      </x:c>
    </x:row>
    <x:row r="218" ht="150" customHeight="1">
      <x:c r="A218" s="4" t="str">
        <x:v>K073</x:v>
      </x:c>
      <x:c r="B218" s="4" t="str">
        <x:v>reference</x:v>
      </x:c>
      <x:c r="C218" s="4" t="str">
        <x:v>Brain scanning makes significant progress in identifying specialized regions and computational organization.</x:v>
      </x:c>
      <x:c r="D218" s="4" t="n">
        <x:v>2019</x:v>
      </x:c>
      <x:c r="E218" s="4" t="str">
        <x:v>FULFILLED</x:v>
      </x:c>
      <x:c r="F218" s="4" t="str">
        <x:v>FULFILLED</x:v>
      </x:c>
      <x:c r="G218" s="4" t="str">
        <x:v>CORRECT</x:v>
      </x:c>
      <x:c r="H218" s="4" t="n">
        <x:v>1</x:v>
      </x:c>
      <x:c r="I218" s="4" t="str">
        <x:v>The 2016 human cortical map identified 180 areas per hemisphere, a concrete regional reverse-engineering advance. Whole-animal connectomes and cell atlases add substantial progress. This modest forecast does not require a complete human emulation.</x:v>
      </x:c>
      <x:c r="J218" s="4" t="str"/>
      <x:c r="K218" s="4" t="str">
        <x:v>REFERENCE_READING</x:v>
      </x:c>
      <x:c r="L218" s="4" t="str">
        <x:v>https://www.nature.com/articles/nature18933
https://www.nimh.nih.gov/news/science-updates/2023/scientists-unveil-complete-cell-map-of-a-whole-mammalian-brain
https://www.nature.com/articles/s41586-024-07686-5</x:v>
      </x:c>
    </x:row>
    <x:row r="219" ht="150" customHeight="1">
      <x:c r="A219" s="4" t="str">
        <x:v>K073</x:v>
      </x:c>
      <x:c r="B219" s="4" t="str">
        <x:v>strict</x:v>
      </x:c>
      <x:c r="C219" s="4" t="str">
        <x:v>Scanning yields understood algorithms for the major regions and those algorithms demonstrably drive machine neural-network design.</x:v>
      </x:c>
      <x:c r="D219" s="4" t="n">
        <x:v>2019</x:v>
      </x:c>
      <x:c r="E219" s="4" t="str">
        <x:v>PARTLY_FULFILLED</x:v>
      </x:c>
      <x:c r="F219" s="4" t="str">
        <x:v>PARTLY_FULFILLED</x:v>
      </x:c>
      <x:c r="G219" s="4" t="str">
        <x:v>PARTIAL</x:v>
      </x:c>
      <x:c r="H219" s="4" t="n">
        <x:v>1</x:v>
      </x:c>
      <x:c r="I219" s="4" t="str">
        <x:v>Regional mapping is strong; the complete algorithm-understanding and causal transfer-to-AI chain is less established.</x:v>
      </x:c>
      <x:c r="J219" s="4" t="str"/>
      <x:c r="K219" s="4" t="str">
        <x:v>ALTERNATIVE_READING</x:v>
      </x:c>
      <x:c r="L219" s="4" t="str">
        <x:v>https://www.nature.com/articles/nature18933
https://www.nimh.nih.gov/news/science-updates/2023/scientists-unveil-complete-cell-map-of-a-whole-mammalian-brain
https://www.nature.com/articles/s41586-024-07686-5</x:v>
      </x:c>
    </x:row>
    <x:row r="220" ht="150" customHeight="1">
      <x:c r="A220" s="4" t="str">
        <x:v>K073</x:v>
      </x:c>
      <x:c r="B220" s="4" t="str">
        <x:v>broader</x:v>
      </x:c>
      <x:c r="C220" s="4" t="str">
        <x:v>Brain scanning makes significant progress in identifying specialized regions and computational organization.</x:v>
      </x:c>
      <x:c r="D220" s="4" t="n">
        <x:v>2019</x:v>
      </x:c>
      <x:c r="E220" s="4" t="str">
        <x:v>FULFILLED</x:v>
      </x:c>
      <x:c r="F220" s="4" t="str">
        <x:v>FULFILLED</x:v>
      </x:c>
      <x:c r="G220" s="4" t="str">
        <x:v>CORRECT</x:v>
      </x:c>
      <x:c r="H220" s="4" t="n">
        <x:v>1</x:v>
      </x:c>
      <x:c r="I220" s="4" t="str">
        <x:v>The 2016 human cortical map identified 180 areas per hemisphere, a concrete regional reverse-engineering advance. Whole-animal connectomes and cell atlases add substantial progress. This modest forecast does not require a complete human emulation.</x:v>
      </x:c>
      <x:c r="J220" s="4" t="str"/>
      <x:c r="K220" s="4" t="str">
        <x:v>REFERENCE_READING</x:v>
      </x:c>
      <x:c r="L220" s="4" t="str">
        <x:v>https://www.nature.com/articles/nature18933
https://www.nimh.nih.gov/news/science-updates/2023/scientists-unveil-complete-cell-map-of-a-whole-mammalian-brain
https://www.nature.com/articles/s41586-024-07686-5</x:v>
      </x:c>
    </x:row>
    <x:row r="221" ht="150" customHeight="1">
      <x:c r="A221" s="4" t="str">
        <x:v>K074</x:v>
      </x:c>
      <x:c r="B221" s="4" t="str">
        <x:v>reference</x:v>
      </x:c>
      <x:c r="C221" s="4" t="str">
        <x:v>The specified pinhead-scale lensless/diffraction technology replaces most conventional camera lenses.</x:v>
      </x:c>
      <x:c r="D221" s="4" t="n">
        <x:v>2019</x:v>
      </x:c>
      <x:c r="E221" s="4" t="str">
        <x:v>NOT_FULFILLED</x:v>
      </x:c>
      <x:c r="F221" s="4" t="str">
        <x:v>NOT_FULFILLED</x:v>
      </x:c>
      <x:c r="G221" s="4" t="str">
        <x:v>WRONG</x:v>
      </x:c>
      <x:c r="H221" s="4" t="n">
        <x:v>1</x:v>
      </x:c>
      <x:c r="I221" s="4" t="str">
        <x:v>Ordinary smartphone cameras still relied on lenses in 2019; tiny camera sensors did not fulfill the optical substitution. Computational imaging is widespread, but not equivalent to majority replacement of optics with the specified diffraction architecture.</x:v>
      </x:c>
      <x:c r="J221" s="4" t="str"/>
      <x:c r="K221" s="4" t="str">
        <x:v>REFERENCE_READING</x:v>
      </x:c>
      <x:c r="L221" s="4" t="str">
        <x:v>https://www.apple.com/newsroom/2017/09/the-future-is-here-iphone-x/
https://global.canon/en/news/2026/20260224.html</x:v>
      </x:c>
    </x:row>
    <x:row r="222" ht="150" customHeight="1">
      <x:c r="A222" s="4" t="str">
        <x:v>K074</x:v>
      </x:c>
      <x:c r="B222" s="4" t="str">
        <x:v>strict</x:v>
      </x:c>
      <x:c r="C222" s="4" t="str">
        <x:v>The specified pinhead-scale lensless/diffraction technology replaces most conventional camera lenses.</x:v>
      </x:c>
      <x:c r="D222" s="4" t="n">
        <x:v>2019</x:v>
      </x:c>
      <x:c r="E222" s="4" t="str">
        <x:v>NOT_FULFILLED</x:v>
      </x:c>
      <x:c r="F222" s="4" t="str">
        <x:v>NOT_FULFILLED</x:v>
      </x:c>
      <x:c r="G222" s="4" t="str">
        <x:v>WRONG</x:v>
      </x:c>
      <x:c r="H222" s="4" t="n">
        <x:v>1</x:v>
      </x:c>
      <x:c r="I222" s="4" t="str">
        <x:v>Ordinary smartphone cameras still relied on lenses in 2019; tiny camera sensors did not fulfill the optical substitution. Computational imaging is widespread, but not equivalent to majority replacement of optics with the specified diffraction architecture.</x:v>
      </x:c>
      <x:c r="J222" s="4" t="str"/>
      <x:c r="K222" s="4" t="str">
        <x:v>REFERENCE_READING</x:v>
      </x:c>
      <x:c r="L222" s="4" t="str">
        <x:v>https://www.apple.com/newsroom/2017/09/the-future-is-here-iphone-x/
https://global.canon/en/news/2026/20260224.html</x:v>
      </x:c>
    </x:row>
    <x:row r="223" ht="150" customHeight="1">
      <x:c r="A223" s="4" t="str">
        <x:v>K074</x:v>
      </x:c>
      <x:c r="B223" s="4" t="str">
        <x:v>broader</x:v>
      </x:c>
      <x:c r="C223" s="4" t="str">
        <x:v>Small computational cameras become pervasive.</x:v>
      </x:c>
      <x:c r="D223" s="4" t="n">
        <x:v>2019</x:v>
      </x:c>
      <x:c r="E223" s="4" t="str">
        <x:v>FULFILLED</x:v>
      </x:c>
      <x:c r="F223" s="4" t="str">
        <x:v>FULFILLED</x:v>
      </x:c>
      <x:c r="G223" s="4" t="str">
        <x:v>CORRECT</x:v>
      </x:c>
      <x:c r="H223" s="4" t="n">
        <x:v>1</x:v>
      </x:c>
      <x:c r="I223" s="4" t="str">
        <x:v>Phones establish miniaturized computational imaging, while retaining lenses.</x:v>
      </x:c>
      <x:c r="J223" s="4" t="str">
        <x:v>Lens replacement; Specified quantum/diffraction mechanism</x:v>
      </x:c>
      <x:c r="K223" s="4" t="str">
        <x:v>ALTERNATIVE_READING</x:v>
      </x:c>
      <x:c r="L223" s="4" t="str">
        <x:v>https://www.apple.com/newsroom/2017/09/the-future-is-here-iphone-x/
https://global.canon/en/news/2026/20260224.html</x:v>
      </x:c>
    </x:row>
    <x:row r="224" ht="150" customHeight="1">
      <x:c r="A224" s="4" t="str">
        <x:v>K075</x:v>
      </x:c>
      <x:c r="B224" s="4" t="str">
        <x:v>reference</x:v>
      </x:c>
      <x:c r="C224" s="4" t="str">
        <x:v>Routine calls offer three-dimensional physical-presence realism using the specified direct-eye or holographic display systems.</x:v>
      </x:c>
      <x:c r="D224" s="4" t="n">
        <x:v>2019</x:v>
      </x:c>
      <x:c r="E224" s="4" t="str">
        <x:v>NOT_FULFILLED</x:v>
      </x:c>
      <x:c r="F224" s="4" t="str">
        <x:v>PARTLY_FULFILLED</x:v>
      </x:c>
      <x:c r="G224" s="4" t="str">
        <x:v>PARTIAL</x:v>
      </x:c>
      <x:c r="H224" s="4" t="n">
        <x:v>1</x:v>
      </x:c>
      <x:c r="I224" s="4" t="str">
        <x:v>Ordinary 2019 video calls did not deliver the asserted 3D physical-presence experience and acuity. Google Beam/HP Dimension demonstrates a serious enterprise 3D telepresence direction, but not routine consumer calls or proven above-human acuity.</x:v>
      </x:c>
      <x:c r="J224" s="4" t="str"/>
      <x:c r="K224" s="4" t="str">
        <x:v>REFERENCE_READING</x:v>
      </x:c>
      <x:c r="L224" s="4" t="str">
        <x:v>https://www.hp.com/us-en/newsroom/press-releases/2025/hp-dimension-with-google-beam-at-infocomm-2025.html
https://www.microsoft.com/en-us/microsoft-365/blog/2019/07/11/microsoft-teams-reaches-13-million-daily-active-users-introduces-4-new-ways-for-teams-to-work-better-together/</x:v>
      </x:c>
    </x:row>
    <x:row r="225" ht="150" customHeight="1">
      <x:c r="A225" s="4" t="str">
        <x:v>K075</x:v>
      </x:c>
      <x:c r="B225" s="4" t="str">
        <x:v>strict</x:v>
      </x:c>
      <x:c r="C225" s="4" t="str">
        <x:v>Routine calls offer three-dimensional physical-presence realism using the specified direct-eye or holographic display systems.</x:v>
      </x:c>
      <x:c r="D225" s="4" t="n">
        <x:v>2019</x:v>
      </x:c>
      <x:c r="E225" s="4" t="str">
        <x:v>NOT_FULFILLED</x:v>
      </x:c>
      <x:c r="F225" s="4" t="str">
        <x:v>PARTLY_FULFILLED</x:v>
      </x:c>
      <x:c r="G225" s="4" t="str">
        <x:v>PARTIAL</x:v>
      </x:c>
      <x:c r="H225" s="4" t="n">
        <x:v>1</x:v>
      </x:c>
      <x:c r="I225" s="4" t="str">
        <x:v>Ordinary 2019 video calls did not deliver the asserted 3D physical-presence experience and acuity. Google Beam/HP Dimension demonstrates a serious enterprise 3D telepresence direction, but not routine consumer calls or proven above-human acuity.</x:v>
      </x:c>
      <x:c r="J225" s="4" t="str"/>
      <x:c r="K225" s="4" t="str">
        <x:v>REFERENCE_READING</x:v>
      </x:c>
      <x:c r="L225" s="4" t="str">
        <x:v>https://www.hp.com/us-en/newsroom/press-releases/2025/hp-dimension-with-google-beam-at-infocomm-2025.html
https://www.microsoft.com/en-us/microsoft-365/blog/2019/07/11/microsoft-teams-reaches-13-million-daily-active-users-introduces-4-new-ways-for-teams-to-work-better-together/</x:v>
      </x:c>
    </x:row>
    <x:row r="226" ht="150" customHeight="1">
      <x:c r="A226" s="4" t="str">
        <x:v>K075</x:v>
      </x:c>
      <x:c r="B226" s="4" t="str">
        <x:v>broader</x:v>
      </x:c>
      <x:c r="C226" s="4" t="str">
        <x:v>Convincing 3D telepresence exists in practical specialist systems, without routine adoption or retinal implementation.</x:v>
      </x:c>
      <x:c r="D226" s="4" t="n">
        <x:v>2019</x:v>
      </x:c>
      <x:c r="E226" s="4" t="str">
        <x:v>PARTLY_FULFILLED</x:v>
      </x:c>
      <x:c r="F226" s="4" t="str">
        <x:v>FULFILLED</x:v>
      </x:c>
      <x:c r="G226" s="4" t="str">
        <x:v>LATE</x:v>
      </x:c>
      <x:c r="H226" s="4" t="n">
        <x:v>1</x:v>
      </x:c>
      <x:c r="I226" s="4" t="str">
        <x:v>Beam’s light-field demonstration/commercial platform realizes the central presence function by 2025. This is a capability assessment, not proof of installed scale.</x:v>
      </x:c>
      <x:c r="J226" s="4" t="str">
        <x:v>Routine use; Direct-eye implementation; Above-human acuity</x:v>
      </x:c>
      <x:c r="K226" s="4" t="str">
        <x:v>ALTERNATIVE_READING</x:v>
      </x:c>
      <x:c r="L226" s="4" t="str">
        <x:v>https://www.hp.com/us-en/newsroom/press-releases/2025/hp-dimension-with-google-beam-at-infocomm-2025.html
https://www.microsoft.com/en-us/microsoft-365/blog/2019/07/11/microsoft-teams-reaches-13-million-daily-active-users-introduces-4-new-ways-for-teams-to-work-better-together/</x:v>
      </x:c>
    </x:row>
    <x:row r="227" ht="150" customHeight="1">
      <x:c r="A227" s="4" t="str">
        <x:v>K076</x:v>
      </x:c>
      <x:c r="B227" s="4" t="str">
        <x:v>reference</x:v>
      </x:c>
      <x:c r="C227" s="4" t="str">
        <x:v>Most ordinary information-sharing meetings can be conducted without co-location; the wording is about need, not actual venue share.</x:v>
      </x:c>
      <x:c r="D227" s="4" t="n">
        <x:v>2019</x:v>
      </x:c>
      <x:c r="E227" s="4" t="str">
        <x:v>FULFILLED</x:v>
      </x:c>
      <x:c r="F227" s="4" t="str">
        <x:v>FULFILLED</x:v>
      </x:c>
      <x:c r="G227" s="4" t="str">
        <x:v>CORRECT</x:v>
      </x:c>
      <x:c r="H227" s="4" t="n">
        <x:v>1</x:v>
      </x:c>
      <x:c r="I227" s="4" t="str">
        <x:v>Large-scale video and collaboration platforms already supported ordinary distributed meetings by 2019. The capability remains established. It would misread this claim to require proof that most meetings actually happened online.</x:v>
      </x:c>
      <x:c r="J227" s="4" t="str"/>
      <x:c r="K227" s="4" t="str">
        <x:v>REFERENCE_READING</x:v>
      </x:c>
      <x:c r="L227" s="4" t="str">
        <x:v>https://newsroom.cisco.com/c/r/newsroom/en/us/a/y2007/m03/cisco-announces-agreement-to-acquire-webex.html
https://www.microsoft.com/en-us/microsoft-365/blog/2019/07/11/microsoft-teams-reaches-13-million-daily-active-users-introduces-4-new-ways-for-teams-to-work-better-together/</x:v>
      </x:c>
    </x:row>
    <x:row r="228" ht="150" customHeight="1">
      <x:c r="A228" s="4" t="str">
        <x:v>K076</x:v>
      </x:c>
      <x:c r="B228" s="4" t="str">
        <x:v>strict</x:v>
      </x:c>
      <x:c r="C228" s="4" t="str">
        <x:v>Most ordinary information-sharing meetings can be conducted without co-location; the wording is about need, not actual venue share.</x:v>
      </x:c>
      <x:c r="D228" s="4" t="n">
        <x:v>2019</x:v>
      </x:c>
      <x:c r="E228" s="4" t="str">
        <x:v>FULFILLED</x:v>
      </x:c>
      <x:c r="F228" s="4" t="str">
        <x:v>FULFILLED</x:v>
      </x:c>
      <x:c r="G228" s="4" t="str">
        <x:v>CORRECT</x:v>
      </x:c>
      <x:c r="H228" s="4" t="n">
        <x:v>1</x:v>
      </x:c>
      <x:c r="I228" s="4" t="str">
        <x:v>Large-scale video and collaboration platforms already supported ordinary distributed meetings by 2019. The capability remains established. It would misread this claim to require proof that most meetings actually happened online.</x:v>
      </x:c>
      <x:c r="J228" s="4" t="str"/>
      <x:c r="K228" s="4" t="str">
        <x:v>REFERENCE_READING</x:v>
      </x:c>
      <x:c r="L228" s="4" t="str">
        <x:v>https://newsroom.cisco.com/c/r/newsroom/en/us/a/y2007/m03/cisco-announces-agreement-to-acquire-webex.html
https://www.microsoft.com/en-us/microsoft-365/blog/2019/07/11/microsoft-teams-reaches-13-million-daily-active-users-introduces-4-new-ways-for-teams-to-work-better-together/</x:v>
      </x:c>
    </x:row>
    <x:row r="229" ht="150" customHeight="1">
      <x:c r="A229" s="4" t="str">
        <x:v>K076</x:v>
      </x:c>
      <x:c r="B229" s="4" t="str">
        <x:v>broader</x:v>
      </x:c>
      <x:c r="C229" s="4" t="str">
        <x:v>Most ordinary information-sharing meetings can be conducted without co-location; the wording is about need, not actual venue share.</x:v>
      </x:c>
      <x:c r="D229" s="4" t="n">
        <x:v>2019</x:v>
      </x:c>
      <x:c r="E229" s="4" t="str">
        <x:v>FULFILLED</x:v>
      </x:c>
      <x:c r="F229" s="4" t="str">
        <x:v>FULFILLED</x:v>
      </x:c>
      <x:c r="G229" s="4" t="str">
        <x:v>CORRECT</x:v>
      </x:c>
      <x:c r="H229" s="4" t="n">
        <x:v>1</x:v>
      </x:c>
      <x:c r="I229" s="4" t="str">
        <x:v>Large-scale video and collaboration platforms already supported ordinary distributed meetings by 2019. The capability remains established. It would misread this claim to require proof that most meetings actually happened online.</x:v>
      </x:c>
      <x:c r="J229" s="4" t="str"/>
      <x:c r="K229" s="4" t="str">
        <x:v>REFERENCE_READING</x:v>
      </x:c>
      <x:c r="L229" s="4" t="str">
        <x:v>https://newsroom.cisco.com/c/r/newsroom/en/us/a/y2007/m03/cisco-announces-agreement-to-acquire-webex.html
https://www.microsoft.com/en-us/microsoft-365/blog/2019/07/11/microsoft-teams-reaches-13-million-daily-active-users-introduces-4-new-ways-for-teams-to-work-better-together/</x:v>
      </x:c>
    </x:row>
    <x:row r="230" ht="150" customHeight="1">
      <x:c r="A230" s="4" t="str">
        <x:v>K077</x:v>
      </x:c>
      <x:c r="B230" s="4" t="str">
        <x:v>reference</x:v>
      </x:c>
      <x:c r="C230" s="4" t="str">
        <x:v>Ordinary users can access useful two-way speech translation for common languages in everyday contexts.</x:v>
      </x:c>
      <x:c r="D230" s="4" t="n">
        <x:v>2019</x:v>
      </x:c>
      <x:c r="E230" s="4" t="str">
        <x:v>FULFILLED</x:v>
      </x:c>
      <x:c r="F230" s="4" t="str">
        <x:v>FULFILLED</x:v>
      </x:c>
      <x:c r="G230" s="4" t="str">
        <x:v>CORRECT</x:v>
      </x:c>
      <x:c r="H230" s="4" t="n">
        <x:v>1</x:v>
      </x:c>
      <x:c r="I230" s="4" t="str">
        <x:v>Google’s earlier conversation/speech products support this ordinary functional reading well before 2019. Practical translation is a success; errors in idioms, accents or specialist contexts do not justify demanding universal perfect translation.</x:v>
      </x:c>
      <x:c r="J230" s="4" t="str"/>
      <x:c r="K230" s="4" t="str">
        <x:v>REFERENCE_READING</x:v>
      </x:c>
      <x:c r="L230" s="4" t="str">
        <x:v>https://translate.googleblog.com/2011/10/start-conversation-with-google.html
https://translate.googleblog.com/2015/</x:v>
      </x:c>
    </x:row>
    <x:row r="231" ht="150" customHeight="1">
      <x:c r="A231" s="4" t="str">
        <x:v>K077</x:v>
      </x:c>
      <x:c r="B231" s="4" t="str">
        <x:v>strict</x:v>
      </x:c>
      <x:c r="C231" s="4" t="str">
        <x:v>High-quality human-equivalent interpretation is reliable across nearly all ordinary conversational contexts for most common language pairs.</x:v>
      </x:c>
      <x:c r="D231" s="4" t="n">
        <x:v>2019</x:v>
      </x:c>
      <x:c r="E231" s="4" t="str">
        <x:v>PARTLY_FULFILLED</x:v>
      </x:c>
      <x:c r="F231" s="4" t="str">
        <x:v>PARTLY_FULFILLED</x:v>
      </x:c>
      <x:c r="G231" s="4" t="str">
        <x:v>PARTIAL</x:v>
      </x:c>
      <x:c r="H231" s="4" t="n">
        <x:v>1</x:v>
      </x:c>
      <x:c r="I231" s="4" t="str">
        <x:v>Availability and useful short exchanges do not establish professional-interpreter reliability in every relevant context.</x:v>
      </x:c>
      <x:c r="J231" s="4" t="str"/>
      <x:c r="K231" s="4" t="str">
        <x:v>ALTERNATIVE_READING</x:v>
      </x:c>
      <x:c r="L231" s="4" t="str">
        <x:v>https://translate.googleblog.com/2011/10/start-conversation-with-google.html
https://translate.googleblog.com/2015/</x:v>
      </x:c>
    </x:row>
    <x:row r="232" ht="150" customHeight="1">
      <x:c r="A232" s="4" t="str">
        <x:v>K077</x:v>
      </x:c>
      <x:c r="B232" s="4" t="str">
        <x:v>broader</x:v>
      </x:c>
      <x:c r="C232" s="4" t="str">
        <x:v>Ordinary users can access useful two-way speech translation for common languages in everyday contexts.</x:v>
      </x:c>
      <x:c r="D232" s="4" t="n">
        <x:v>2019</x:v>
      </x:c>
      <x:c r="E232" s="4" t="str">
        <x:v>FULFILLED</x:v>
      </x:c>
      <x:c r="F232" s="4" t="str">
        <x:v>FULFILLED</x:v>
      </x:c>
      <x:c r="G232" s="4" t="str">
        <x:v>CORRECT</x:v>
      </x:c>
      <x:c r="H232" s="4" t="n">
        <x:v>1</x:v>
      </x:c>
      <x:c r="I232" s="4" t="str">
        <x:v>Google’s earlier conversation/speech products support this ordinary functional reading well before 2019. Practical translation is a success; errors in idioms, accents or specialist contexts do not justify demanding universal perfect translation.</x:v>
      </x:c>
      <x:c r="J232" s="4" t="str"/>
      <x:c r="K232" s="4" t="str">
        <x:v>REFERENCE_READING</x:v>
      </x:c>
      <x:c r="L232" s="4" t="str">
        <x:v>https://translate.googleblog.com/2011/10/start-conversation-with-google.html
https://translate.googleblog.com/2015/</x:v>
      </x:c>
    </x:row>
    <x:row r="233" ht="150" customHeight="1">
      <x:c r="A233" s="4" t="str">
        <x:v>K078</x:v>
      </x:c>
      <x:c r="B233" s="4" t="str">
        <x:v>reference</x:v>
      </x:c>
      <x:c r="C233" s="4" t="str">
        <x:v>More than half of learning is supplied by intelligent simulated teachers, rather than human instruction or ordinary learning resources.</x:v>
      </x:c>
      <x:c r="D233" s="4" t="n">
        <x:v>2019</x:v>
      </x:c>
      <x:c r="E233" s="4" t="str">
        <x:v>NOT_FULFILLED</x:v>
      </x:c>
      <x:c r="F233" s="4" t="str">
        <x:v>NOT_FULFILLED</x:v>
      </x:c>
      <x:c r="G233" s="4" t="str">
        <x:v>WRONG</x:v>
      </x:c>
      <x:c r="H233" s="4" t="n">
        <x:v>1</x:v>
      </x:c>
      <x:c r="I233" s="4" t="str">
        <x:v>2019 classroom and distance learning did not predominantly use intelligent simulated teachers. AI tutoring is a growing capability, but teacher-based education and other learning remain central. A video lecture or web page is not automatically an intelligent tutor.</x:v>
      </x:c>
      <x:c r="J233" s="4" t="str"/>
      <x:c r="K233" s="4" t="str">
        <x:v>REFERENCE_READING</x:v>
      </x:c>
      <x:c r="L233" s="4" t="str">
        <x:v>https://ies.ed.gov/use-work/resource-library/report/first-look-ed-tab/teachers-use-educational-technology-u-s-public-schools-2009
https://nces.ed.gov/surveys/annualreports/topical-studies/covid/theme/elementary-and-secondary-education-technology-support/
https://www.unesco.org/en/teachers-cannot-be-coded
https://www.microsoft.com/en-us/microsoft-365/blog/2019/07/11/microsoft-teams-reaches-13-million-daily-active-users-introduces-4-new-ways-for-teams-to-work-better-together/</x:v>
      </x:c>
    </x:row>
    <x:row r="234" ht="150" customHeight="1">
      <x:c r="A234" s="4" t="str">
        <x:v>K078</x:v>
      </x:c>
      <x:c r="B234" s="4" t="str">
        <x:v>strict</x:v>
      </x:c>
      <x:c r="C234" s="4" t="str">
        <x:v>More than half of learning is supplied by intelligent simulated teachers, rather than human instruction or ordinary learning resources.</x:v>
      </x:c>
      <x:c r="D234" s="4" t="n">
        <x:v>2019</x:v>
      </x:c>
      <x:c r="E234" s="4" t="str">
        <x:v>NOT_FULFILLED</x:v>
      </x:c>
      <x:c r="F234" s="4" t="str">
        <x:v>NOT_FULFILLED</x:v>
      </x:c>
      <x:c r="G234" s="4" t="str">
        <x:v>WRONG</x:v>
      </x:c>
      <x:c r="H234" s="4" t="n">
        <x:v>1</x:v>
      </x:c>
      <x:c r="I234" s="4" t="str">
        <x:v>2019 classroom and distance learning did not predominantly use intelligent simulated teachers. AI tutoring is a growing capability, but teacher-based education and other learning remain central. A video lecture or web page is not automatically an intelligent tutor.</x:v>
      </x:c>
      <x:c r="J234" s="4" t="str"/>
      <x:c r="K234" s="4" t="str">
        <x:v>REFERENCE_READING</x:v>
      </x:c>
      <x:c r="L234" s="4" t="str">
        <x:v>https://ies.ed.gov/use-work/resource-library/report/first-look-ed-tab/teachers-use-educational-technology-u-s-public-schools-2009
https://nces.ed.gov/surveys/annualreports/topical-studies/covid/theme/elementary-and-secondary-education-technology-support/
https://www.unesco.org/en/teachers-cannot-be-coded
https://www.microsoft.com/en-us/microsoft-365/blog/2019/07/11/microsoft-teams-reaches-13-million-daily-active-users-introduces-4-new-ways-for-teams-to-work-better-together/</x:v>
      </x:c>
    </x:row>
    <x:row r="235" ht="150" customHeight="1">
      <x:c r="A235" s="4" t="str">
        <x:v>K078</x:v>
      </x:c>
      <x:c r="B235" s="4" t="str">
        <x:v>broader</x:v>
      </x:c>
      <x:c r="C235" s="4" t="str">
        <x:v>Digital software becomes a major aid to learning, including online classes and AI assistance.</x:v>
      </x:c>
      <x:c r="D235" s="4" t="n">
        <x:v>2019</x:v>
      </x:c>
      <x:c r="E235" s="4" t="str">
        <x:v>PARTLY_FULFILLED</x:v>
      </x:c>
      <x:c r="F235" s="4" t="str">
        <x:v>FULFILLED</x:v>
      </x:c>
      <x:c r="G235" s="4" t="str">
        <x:v>LATE</x:v>
      </x:c>
      <x:c r="H235" s="4" t="n">
        <x:v>1</x:v>
      </x:c>
      <x:c r="I235" s="4" t="str">
        <x:v>Digital learning access is widespread, while this broader criterion relaxes both intelligence and majority requirements.</x:v>
      </x:c>
      <x:c r="J235" s="4" t="str">
        <x:v>Most learning; Simulated intelligent teacher</x:v>
      </x:c>
      <x:c r="K235" s="4" t="str">
        <x:v>ALTERNATIVE_READING</x:v>
      </x:c>
      <x:c r="L235" s="4" t="str">
        <x:v>https://ies.ed.gov/use-work/resource-library/report/first-look-ed-tab/teachers-use-educational-technology-u-s-public-schools-2009
https://nces.ed.gov/surveys/annualreports/topical-studies/covid/theme/elementary-and-secondary-education-technology-support/
https://www.unesco.org/en/teachers-cannot-be-coded
https://www.microsoft.com/en-us/microsoft-365/blog/2019/07/11/microsoft-teams-reaches-13-million-daily-active-users-introduces-4-new-ways-for-teams-to-work-better-together/</x:v>
      </x:c>
    </x:row>
    <x:row r="236" ht="150" customHeight="1">
      <x:c r="A236" s="4" t="str">
        <x:v>K079</x:v>
      </x:c>
      <x:c r="B236" s="4" t="str">
        <x:v>reference</x:v>
      </x:c>
      <x:c r="C236" s="4" t="str">
        <x:v>Typical adult workers spend a majority of their time acquiring new knowledge/skills as a primary activity, not merely incidental learning while doing any job.</x:v>
      </x:c>
      <x:c r="D236" s="4" t="n">
        <x:v>2019</x:v>
      </x:c>
      <x:c r="E236" s="4" t="str">
        <x:v>NOT_FULFILLED</x:v>
      </x:c>
      <x:c r="F236" s="4" t="str">
        <x:v>NOT_FULFILLED</x:v>
      </x:c>
      <x:c r="G236" s="4" t="str">
        <x:v>WRONG</x:v>
      </x:c>
      <x:c r="H236" s="4" t="n">
        <x:v>1</x:v>
      </x:c>
      <x:c r="I236" s="4" t="str">
        <x:v>BLS time-use evidence does not resemble a majority of time devoted to study/retraining. Continuing education remains important, but calling all productive work “learning” would make the forecast untestable. On an ordinary primary-activity reading it remains a miss.</x:v>
      </x:c>
      <x:c r="J236" s="4" t="str"/>
      <x:c r="K236" s="4" t="str">
        <x:v>REFERENCE_READING</x:v>
      </x:c>
      <x:c r="L236" s="4" t="str">
        <x:v>https://www.bls.gov/opub/mlr/2019/article/time-use-of-millennials-and-nonmillennials.htm</x:v>
      </x:c>
    </x:row>
    <x:row r="237" ht="150" customHeight="1">
      <x:c r="A237" s="4" t="str">
        <x:v>K079</x:v>
      </x:c>
      <x:c r="B237" s="4" t="str">
        <x:v>strict</x:v>
      </x:c>
      <x:c r="C237" s="4" t="str">
        <x:v>Typical adult workers spend a majority of their time acquiring new knowledge/skills as a primary activity, not merely incidental learning while doing any job.</x:v>
      </x:c>
      <x:c r="D237" s="4" t="n">
        <x:v>2019</x:v>
      </x:c>
      <x:c r="E237" s="4" t="str">
        <x:v>NOT_FULFILLED</x:v>
      </x:c>
      <x:c r="F237" s="4" t="str">
        <x:v>NOT_FULFILLED</x:v>
      </x:c>
      <x:c r="G237" s="4" t="str">
        <x:v>WRONG</x:v>
      </x:c>
      <x:c r="H237" s="4" t="n">
        <x:v>1</x:v>
      </x:c>
      <x:c r="I237" s="4" t="str">
        <x:v>BLS time-use evidence does not resemble a majority of time devoted to study/retraining. Continuing education remains important, but calling all productive work “learning” would make the forecast untestable. On an ordinary primary-activity reading it remains a miss.</x:v>
      </x:c>
      <x:c r="J237" s="4" t="str"/>
      <x:c r="K237" s="4" t="str">
        <x:v>REFERENCE_READING</x:v>
      </x:c>
      <x:c r="L237" s="4" t="str">
        <x:v>https://www.bls.gov/opub/mlr/2019/article/time-use-of-millennials-and-nonmillennials.htm</x:v>
      </x:c>
    </x:row>
    <x:row r="238" ht="150" customHeight="1">
      <x:c r="A238" s="4" t="str">
        <x:v>K079</x:v>
      </x:c>
      <x:c r="B238" s="4" t="str">
        <x:v>broader</x:v>
      </x:c>
      <x:c r="C238" s="4" t="str">
        <x:v>Knowledge acquisition and recurrent retraining become important parts of working life.</x:v>
      </x:c>
      <x:c r="D238" s="4" t="n">
        <x:v>2019</x:v>
      </x:c>
      <x:c r="E238" s="4" t="str">
        <x:v>PARTLY_FULFILLED</x:v>
      </x:c>
      <x:c r="F238" s="4" t="str">
        <x:v>FULFILLED</x:v>
      </x:c>
      <x:c r="G238" s="4" t="str">
        <x:v>LATE</x:v>
      </x:c>
      <x:c r="H238" s="4" t="n">
        <x:v>1</x:v>
      </x:c>
      <x:c r="I238" s="4" t="str">
        <x:v>This qualitative lifelong-learning direction is plausible and widely consistent with digital work, but lacks a global majority-time claim.</x:v>
      </x:c>
      <x:c r="J238" s="4" t="str">
        <x:v>Majority time; Learning as primary activity</x:v>
      </x:c>
      <x:c r="K238" s="4" t="str">
        <x:v>ALTERNATIVE_READING</x:v>
      </x:c>
      <x:c r="L238" s="4" t="str">
        <x:v>https://www.bls.gov/opub/mlr/2019/article/time-use-of-millennials-and-nonmillennials.htm</x:v>
      </x:c>
    </x:row>
    <x:row r="239" ht="150" customHeight="1">
      <x:c r="A239" s="4" t="str">
        <x:v>K080</x:v>
      </x:c>
      <x:c r="B239" s="4" t="str">
        <x:v>reference</x:v>
      </x:c>
      <x:c r="C239" s="4" t="str">
        <x:v>Cleaning/chores robots are near-ubiquitous household equipment, not merely a successful appliance category.</x:v>
      </x:c>
      <x:c r="D239" s="4" t="n">
        <x:v>2019</x:v>
      </x:c>
      <x:c r="E239" s="4" t="str">
        <x:v>PARTLY_FULFILLED</x:v>
      </x:c>
      <x:c r="F239" s="4" t="str">
        <x:v>PARTLY_FULFILLED</x:v>
      </x:c>
      <x:c r="G239" s="4" t="str">
        <x:v>PARTIAL</x:v>
      </x:c>
      <x:c r="H239" s="4" t="n">
        <x:v>1</x:v>
      </x:c>
      <x:c r="I239" s="4" t="str">
        <x:v>IFR’s 23.2 million consumer/domestic robot sales in 2019 show a large market, not near-universal household presence. Useful cleaning robots are established, but near-ubiquity across households and the broad chores range are not demonstrated.</x:v>
      </x:c>
      <x:c r="J239" s="4" t="str"/>
      <x:c r="K239" s="4" t="str">
        <x:v>REFERENCE_READING</x:v>
      </x:c>
      <x:c r="L239" s="4" t="str">
        <x:v>https://ifr.org/ifr-press-releases/news/service-robots-record-sales-worldwide-up-32
https://investor.irobot.com/news-releases/news-release-details/irobot-achieves-milestone-home-robot-market</x:v>
      </x:c>
    </x:row>
    <x:row r="240" ht="150" customHeight="1">
      <x:c r="A240" s="4" t="str">
        <x:v>K080</x:v>
      </x:c>
      <x:c r="B240" s="4" t="str">
        <x:v>strict</x:v>
      </x:c>
      <x:c r="C240" s="4" t="str">
        <x:v>Cleaning/chores robots are near-ubiquitous household equipment, not merely a successful appliance category.</x:v>
      </x:c>
      <x:c r="D240" s="4" t="n">
        <x:v>2019</x:v>
      </x:c>
      <x:c r="E240" s="4" t="str">
        <x:v>PARTLY_FULFILLED</x:v>
      </x:c>
      <x:c r="F240" s="4" t="str">
        <x:v>PARTLY_FULFILLED</x:v>
      </x:c>
      <x:c r="G240" s="4" t="str">
        <x:v>PARTIAL</x:v>
      </x:c>
      <x:c r="H240" s="4" t="n">
        <x:v>1</x:v>
      </x:c>
      <x:c r="I240" s="4" t="str">
        <x:v>IFR’s 23.2 million consumer/domestic robot sales in 2019 show a large market, not near-universal household presence. Useful cleaning robots are established, but near-ubiquity across households and the broad chores range are not demonstrated.</x:v>
      </x:c>
      <x:c r="J240" s="4" t="str"/>
      <x:c r="K240" s="4" t="str">
        <x:v>REFERENCE_READING</x:v>
      </x:c>
      <x:c r="L240" s="4" t="str">
        <x:v>https://ifr.org/ifr-press-releases/news/service-robots-record-sales-worldwide-up-32
https://investor.irobot.com/news-releases/news-release-details/irobot-achieves-milestone-home-robot-market</x:v>
      </x:c>
    </x:row>
    <x:row r="241" ht="150" customHeight="1">
      <x:c r="A241" s="4" t="str">
        <x:v>K080</x:v>
      </x:c>
      <x:c r="B241" s="4" t="str">
        <x:v>broader</x:v>
      </x:c>
      <x:c r="C241" s="4" t="str">
        <x:v>Reliable household cleaning robots are a commonplace commercial appliance category.</x:v>
      </x:c>
      <x:c r="D241" s="4" t="n">
        <x:v>2019</x:v>
      </x:c>
      <x:c r="E241" s="4" t="str">
        <x:v>FULFILLED</x:v>
      </x:c>
      <x:c r="F241" s="4" t="str">
        <x:v>FULFILLED</x:v>
      </x:c>
      <x:c r="G241" s="4" t="str">
        <x:v>CORRECT</x:v>
      </x:c>
      <x:c r="H241" s="4" t="n">
        <x:v>1</x:v>
      </x:c>
      <x:c r="I241" s="4" t="str">
        <x:v>Substantial sales and established manufacturers support this normal market-language reading of widespread, without literal near-universality.</x:v>
      </x:c>
      <x:c r="J241" s="4" t="str">
        <x:v>Near-ubiquitous household penetration; Broad chores range</x:v>
      </x:c>
      <x:c r="K241" s="4" t="str">
        <x:v>ALTERNATIVE_READING</x:v>
      </x:c>
      <x:c r="L241" s="4" t="str">
        <x:v>https://ifr.org/ifr-press-releases/news/service-robots-record-sales-worldwide-up-32
https://investor.irobot.com/news-releases/news-release-details/irobot-achieves-milestone-home-robot-market</x:v>
      </x:c>
    </x:row>
    <x:row r="242" ht="150" customHeight="1">
      <x:c r="A242" s="4" t="str">
        <x:v>K081</x:v>
      </x:c>
      <x:c r="B242" s="4" t="str">
        <x:v>reference</x:v>
      </x:c>
      <x:c r="C242" s="4" t="str">
        <x:v>Automation reduces transportation accidents to a very low societal burden, not just a modest statistical improvement.</x:v>
      </x:c>
      <x:c r="D242" s="4" t="n">
        <x:v>2019</x:v>
      </x:c>
      <x:c r="E242" s="4" t="str">
        <x:v>NOT_FULFILLED</x:v>
      </x:c>
      <x:c r="F242" s="4" t="str">
        <x:v>NOT_FULFILLED</x:v>
      </x:c>
      <x:c r="G242" s="4" t="str">
        <x:v>WRONG</x:v>
      </x:c>
      <x:c r="H242" s="4" t="n">
        <x:v>1</x:v>
      </x:c>
      <x:c r="I242" s="4" t="str">
        <x:v>Transport injury and death remained a major global burden around the target date. WHO’s 2021 estimate of 1.19 million annual road deaths, only modestly below 2010, contradicts the very-few-accidents scenario. Individual safer systems do not establish the whole-system outcome.</x:v>
      </x:c>
      <x:c r="J242" s="4" t="str"/>
      <x:c r="K242" s="4" t="str">
        <x:v>REFERENCE_READING</x:v>
      </x:c>
      <x:c r="L242" s="4" t="str">
        <x:v>https://www.who.int/news/item/13-12-2023-despite-notable-progress-road-safety-remains-urgent-global-issue</x:v>
      </x:c>
    </x:row>
    <x:row r="243" ht="150" customHeight="1">
      <x:c r="A243" s="4" t="str">
        <x:v>K081</x:v>
      </x:c>
      <x:c r="B243" s="4" t="str">
        <x:v>strict</x:v>
      </x:c>
      <x:c r="C243" s="4" t="str">
        <x:v>Automation reduces transportation accidents to a very low societal burden, not just a modest statistical improvement.</x:v>
      </x:c>
      <x:c r="D243" s="4" t="n">
        <x:v>2019</x:v>
      </x:c>
      <x:c r="E243" s="4" t="str">
        <x:v>NOT_FULFILLED</x:v>
      </x:c>
      <x:c r="F243" s="4" t="str">
        <x:v>NOT_FULFILLED</x:v>
      </x:c>
      <x:c r="G243" s="4" t="str">
        <x:v>WRONG</x:v>
      </x:c>
      <x:c r="H243" s="4" t="n">
        <x:v>1</x:v>
      </x:c>
      <x:c r="I243" s="4" t="str">
        <x:v>Transport injury and death remained a major global burden around the target date. WHO’s 2021 estimate of 1.19 million annual road deaths, only modestly below 2010, contradicts the very-few-accidents scenario. Individual safer systems do not establish the whole-system outcome.</x:v>
      </x:c>
      <x:c r="J243" s="4" t="str"/>
      <x:c r="K243" s="4" t="str">
        <x:v>REFERENCE_READING</x:v>
      </x:c>
      <x:c r="L243" s="4" t="str">
        <x:v>https://www.who.int/news/item/13-12-2023-despite-notable-progress-road-safety-remains-urgent-global-issue</x:v>
      </x:c>
    </x:row>
    <x:row r="244" ht="150" customHeight="1">
      <x:c r="A244" s="4" t="str">
        <x:v>K081</x:v>
      </x:c>
      <x:c r="B244" s="4" t="str">
        <x:v>broader</x:v>
      </x:c>
      <x:c r="C244" s="4" t="str">
        <x:v>Safety technology produces some meaningful reduction in accident risk.</x:v>
      </x:c>
      <x:c r="D244" s="4" t="n">
        <x:v>2019</x:v>
      </x:c>
      <x:c r="E244" s="4" t="str">
        <x:v>PARTLY_FULFILLED</x:v>
      </x:c>
      <x:c r="F244" s="4" t="str">
        <x:v>PARTLY_FULFILLED</x:v>
      </x:c>
      <x:c r="G244" s="4" t="str">
        <x:v>PARTIAL</x:v>
      </x:c>
      <x:c r="H244" s="4" t="n">
        <x:v>1</x:v>
      </x:c>
      <x:c r="I244" s="4" t="str">
        <x:v>Improvement is real but uneven and far weaker than the original near-elimination scenario.</x:v>
      </x:c>
      <x:c r="J244" s="4" t="str">
        <x:v>Very few accidents</x:v>
      </x:c>
      <x:c r="K244" s="4" t="str">
        <x:v>ALTERNATIVE_READING</x:v>
      </x:c>
      <x:c r="L244" s="4" t="str">
        <x:v>https://www.who.int/news/item/13-12-2023-despite-notable-progress-road-safety-remains-urgent-global-issue</x:v>
      </x:c>
    </x:row>
    <x:row r="245" ht="150" customHeight="1">
      <x:c r="A245" s="4" t="str">
        <x:v>K082</x:v>
      </x:c>
      <x:c r="B245" s="4" t="str">
        <x:v>reference</x:v>
      </x:c>
      <x:c r="C245" s="4" t="str">
        <x:v>Human-machine artistic collaborations emerge and receive serious cultural/institutional attention.</x:v>
      </x:c>
      <x:c r="D245" s="4" t="n">
        <x:v>2019</x:v>
      </x:c>
      <x:c r="E245" s="4" t="str">
        <x:v>FULFILLED</x:v>
      </x:c>
      <x:c r="F245" s="4" t="str">
        <x:v>FULFILLED</x:v>
      </x:c>
      <x:c r="G245" s="4" t="str">
        <x:v>CORRECT</x:v>
      </x:c>
      <x:c r="H245" s="4" t="n">
        <x:v>1</x:v>
      </x:c>
      <x:c r="I245" s="4" t="str">
        <x:v>Christie’s 2018 sale of a GAN-assisted work created by a human collective establishes serious institutional attention before 2019. The modest emergence-and-recognition claim was fulfilled. It did not require most artists or leading artists to be machines.</x:v>
      </x:c>
      <x:c r="J245" s="4" t="str"/>
      <x:c r="K245" s="4" t="str">
        <x:v>REFERENCE_READING</x:v>
      </x:c>
      <x:c r="L245" s="4" t="str">
        <x:v>https://www.christies.com/stories/a-collaboration-between-two-artists-one-human-one-a-machine-0cd01f4e232f4279a525a446d60d4cd1</x:v>
      </x:c>
    </x:row>
    <x:row r="246" ht="150" customHeight="1">
      <x:c r="A246" s="4" t="str">
        <x:v>K082</x:v>
      </x:c>
      <x:c r="B246" s="4" t="str">
        <x:v>strict</x:v>
      </x:c>
      <x:c r="C246" s="4" t="str">
        <x:v>Human-machine artistic collaborations emerge and receive serious cultural/institutional attention.</x:v>
      </x:c>
      <x:c r="D246" s="4" t="n">
        <x:v>2019</x:v>
      </x:c>
      <x:c r="E246" s="4" t="str">
        <x:v>FULFILLED</x:v>
      </x:c>
      <x:c r="F246" s="4" t="str">
        <x:v>FULFILLED</x:v>
      </x:c>
      <x:c r="G246" s="4" t="str">
        <x:v>CORRECT</x:v>
      </x:c>
      <x:c r="H246" s="4" t="n">
        <x:v>1</x:v>
      </x:c>
      <x:c r="I246" s="4" t="str">
        <x:v>Christie’s 2018 sale of a GAN-assisted work created by a human collective establishes serious institutional attention before 2019. The modest emergence-and-recognition claim was fulfilled. It did not require most artists or leading artists to be machines.</x:v>
      </x:c>
      <x:c r="J246" s="4" t="str"/>
      <x:c r="K246" s="4" t="str">
        <x:v>REFERENCE_READING</x:v>
      </x:c>
      <x:c r="L246" s="4" t="str">
        <x:v>https://www.christies.com/stories/a-collaboration-between-two-artists-one-human-one-a-machine-0cd01f4e232f4279a525a446d60d4cd1</x:v>
      </x:c>
    </x:row>
    <x:row r="247" ht="150" customHeight="1">
      <x:c r="A247" s="4" t="str">
        <x:v>K082</x:v>
      </x:c>
      <x:c r="B247" s="4" t="str">
        <x:v>broader</x:v>
      </x:c>
      <x:c r="C247" s="4" t="str">
        <x:v>Human-machine artistic collaborations emerge and receive serious cultural/institutional attention.</x:v>
      </x:c>
      <x:c r="D247" s="4" t="n">
        <x:v>2019</x:v>
      </x:c>
      <x:c r="E247" s="4" t="str">
        <x:v>FULFILLED</x:v>
      </x:c>
      <x:c r="F247" s="4" t="str">
        <x:v>FULFILLED</x:v>
      </x:c>
      <x:c r="G247" s="4" t="str">
        <x:v>CORRECT</x:v>
      </x:c>
      <x:c r="H247" s="4" t="n">
        <x:v>1</x:v>
      </x:c>
      <x:c r="I247" s="4" t="str">
        <x:v>Christie’s 2018 sale of a GAN-assisted work created by a human collective establishes serious institutional attention before 2019. The modest emergence-and-recognition claim was fulfilled. It did not require most artists or leading artists to be machines.</x:v>
      </x:c>
      <x:c r="J247" s="4" t="str"/>
      <x:c r="K247" s="4" t="str">
        <x:v>REFERENCE_READING</x:v>
      </x:c>
      <x:c r="L247" s="4" t="str">
        <x:v>https://www.christies.com/stories/a-collaboration-between-two-artists-one-human-one-a-machine-0cd01f4e232f4279a525a446d60d4cd1</x:v>
      </x:c>
    </x:row>
    <x:row r="248" ht="150" customHeight="1">
      <x:c r="A248" s="4" t="str">
        <x:v>K083</x:v>
      </x:c>
      <x:c r="B248" s="4" t="str">
        <x:v>reference</x:v>
      </x:c>
      <x:c r="C248" s="4" t="str">
        <x:v>Scientists understand many important genetic/cellular processes of aging and cancer; a complete causal model or cure is not required.</x:v>
      </x:c>
      <x:c r="D248" s="4" t="n">
        <x:v>2019</x:v>
      </x:c>
      <x:c r="E248" s="4" t="str">
        <x:v>FULFILLED</x:v>
      </x:c>
      <x:c r="F248" s="4" t="str">
        <x:v>FULFILLED</x:v>
      </x:c>
      <x:c r="G248" s="4" t="str">
        <x:v>CORRECT</x:v>
      </x:c>
      <x:c r="H248" s="4" t="n">
        <x:v>1</x:v>
      </x:c>
      <x:c r="I248" s="4" t="str">
        <x:v>The 2013 hallmarks framework and 2018 Pan-Cancer Atlas demonstrate substantial mechanistic and molecular understanding before 2019. Continued refinement, including 12 aging hallmarks in 2023, does not erase those real insights. The source says many processes, not all biology solved.</x:v>
      </x:c>
      <x:c r="J248" s="4" t="str"/>
      <x:c r="K248" s="4" t="str">
        <x:v>REFERENCE_READING</x:v>
      </x:c>
      <x:c r="L248" s="4" t="str">
        <x:v>https://doi.org/10.1016/j.cell.2013.05.039
https://gdc.cancer.gov/about-data/publications/PanCan-CellOfOrigin
https://pubmed.ncbi.nlm.nih.gov/36599349/</x:v>
      </x:c>
    </x:row>
    <x:row r="249" ht="150" customHeight="1">
      <x:c r="A249" s="4" t="str">
        <x:v>K083</x:v>
      </x:c>
      <x:c r="B249" s="4" t="str">
        <x:v>strict</x:v>
      </x:c>
      <x:c r="C249" s="4" t="str">
        <x:v>Scientists understand many important genetic/cellular processes of aging and cancer; a complete causal model or cure is not required.</x:v>
      </x:c>
      <x:c r="D249" s="4" t="n">
        <x:v>2019</x:v>
      </x:c>
      <x:c r="E249" s="4" t="str">
        <x:v>FULFILLED</x:v>
      </x:c>
      <x:c r="F249" s="4" t="str">
        <x:v>FULFILLED</x:v>
      </x:c>
      <x:c r="G249" s="4" t="str">
        <x:v>CORRECT</x:v>
      </x:c>
      <x:c r="H249" s="4" t="n">
        <x:v>1</x:v>
      </x:c>
      <x:c r="I249" s="4" t="str">
        <x:v>The 2013 hallmarks framework and 2018 Pan-Cancer Atlas demonstrate substantial mechanistic and molecular understanding before 2019. Continued refinement, including 12 aging hallmarks in 2023, does not erase those real insights. The source says many processes, not all biology solved.</x:v>
      </x:c>
      <x:c r="J249" s="4" t="str"/>
      <x:c r="K249" s="4" t="str">
        <x:v>SAME_AS_REFERENCE</x:v>
      </x:c>
      <x:c r="L249" s="4" t="str">
        <x:v>https://doi.org/10.1016/j.cell.2013.05.039
https://gdc.cancer.gov/about-data/publications/PanCan-CellOfOrigin
https://pubmed.ncbi.nlm.nih.gov/36599349/</x:v>
      </x:c>
    </x:row>
    <x:row r="250" ht="150" customHeight="1">
      <x:c r="A250" s="4" t="str">
        <x:v>K083</x:v>
      </x:c>
      <x:c r="B250" s="4" t="str">
        <x:v>broader</x:v>
      </x:c>
      <x:c r="C250" s="4" t="str">
        <x:v>Scientists understand many important genetic/cellular processes of aging and cancer; a complete causal model or cure is not required.</x:v>
      </x:c>
      <x:c r="D250" s="4" t="n">
        <x:v>2019</x:v>
      </x:c>
      <x:c r="E250" s="4" t="str">
        <x:v>FULFILLED</x:v>
      </x:c>
      <x:c r="F250" s="4" t="str">
        <x:v>FULFILLED</x:v>
      </x:c>
      <x:c r="G250" s="4" t="str">
        <x:v>CORRECT</x:v>
      </x:c>
      <x:c r="H250" s="4" t="n">
        <x:v>1</x:v>
      </x:c>
      <x:c r="I250" s="4" t="str">
        <x:v>The 2013 hallmarks framework and 2018 Pan-Cancer Atlas demonstrate substantial mechanistic and molecular understanding before 2019. Continued refinement, including 12 aging hallmarks in 2023, does not erase those real insights. The source says many processes, not all biology solved.</x:v>
      </x:c>
      <x:c r="J250" s="4" t="str"/>
      <x:c r="K250" s="4" t="str">
        <x:v>REFERENCE_READING</x:v>
      </x:c>
      <x:c r="L250" s="4" t="str">
        <x:v>https://doi.org/10.1016/j.cell.2013.05.039
https://gdc.cancer.gov/about-data/publications/PanCan-CellOfOrigin
https://pubmed.ncbi.nlm.nih.gov/36599349/</x:v>
      </x:c>
    </x:row>
    <x:row r="251" ht="150" customHeight="1">
      <x:c r="A251" s="4" t="str">
        <x:v>K084</x:v>
      </x:c>
      <x:c r="B251" s="4" t="str">
        <x:v>reference</x:v>
      </x:c>
      <x:c r="C251" s="4" t="str">
        <x:v>The vast majority of transactions involve an AI-like simulated person, often agent-to-agent without direct human involvement.</x:v>
      </x:c>
      <x:c r="D251" s="4" t="n">
        <x:v>2019</x:v>
      </x:c>
      <x:c r="E251" s="4" t="str">
        <x:v>NOT_FULFILLED</x:v>
      </x:c>
      <x:c r="F251" s="4" t="str">
        <x:v>PARTLY_FULFILLED</x:v>
      </x:c>
      <x:c r="G251" s="4" t="str">
        <x:v>PARTIAL</x:v>
      </x:c>
      <x:c r="H251" s="4" t="n">
        <x:v>1</x:v>
      </x:c>
      <x:c r="I251" s="4" t="str">
        <x:v>Ordinary online checkout and payment automation in 2019 were not predominantly simulated-person interactions. Agent payment protocols and commercial conversational-commerce offerings now make the direction concrete. They do not establish the original vast-majority share.</x:v>
      </x:c>
      <x:c r="J251" s="4" t="str"/>
      <x:c r="K251" s="4" t="str">
        <x:v>REFERENCE_READING</x:v>
      </x:c>
      <x:c r="L251" s="4" t="str">
        <x:v>https://cloud.google.com/blog/products/ai-machine-learning/announcing-agents-to-payments-ap2-protocol
https://cloud.google.com/blog/topics/financial-services/introducing-an-agentic-commerce-solution-for-merchants-from-paypal-and-google-cloud
https://www.census.gov/retail/eCommerce.html</x:v>
      </x:c>
    </x:row>
    <x:row r="252" ht="150" customHeight="1">
      <x:c r="A252" s="4" t="str">
        <x:v>K084</x:v>
      </x:c>
      <x:c r="B252" s="4" t="str">
        <x:v>strict</x:v>
      </x:c>
      <x:c r="C252" s="4" t="str">
        <x:v>The vast majority of transactions involve an AI-like simulated person, often agent-to-agent without direct human involvement.</x:v>
      </x:c>
      <x:c r="D252" s="4" t="n">
        <x:v>2019</x:v>
      </x:c>
      <x:c r="E252" s="4" t="str">
        <x:v>NOT_FULFILLED</x:v>
      </x:c>
      <x:c r="F252" s="4" t="str">
        <x:v>PARTLY_FULFILLED</x:v>
      </x:c>
      <x:c r="G252" s="4" t="str">
        <x:v>PARTIAL</x:v>
      </x:c>
      <x:c r="H252" s="4" t="n">
        <x:v>1</x:v>
      </x:c>
      <x:c r="I252" s="4" t="str">
        <x:v>Ordinary online checkout and payment automation in 2019 were not predominantly simulated-person interactions. Agent payment protocols and commercial conversational-commerce offerings now make the direction concrete. They do not establish the original vast-majority share.</x:v>
      </x:c>
      <x:c r="J252" s="4" t="str"/>
      <x:c r="K252" s="4" t="str">
        <x:v>REFERENCE_READING</x:v>
      </x:c>
      <x:c r="L252" s="4" t="str">
        <x:v>https://cloud.google.com/blog/products/ai-machine-learning/announcing-agents-to-payments-ap2-protocol
https://cloud.google.com/blog/topics/financial-services/introducing-an-agentic-commerce-solution-for-merchants-from-paypal-and-google-cloud
https://www.census.gov/retail/eCommerce.html</x:v>
      </x:c>
    </x:row>
    <x:row r="253" ht="150" customHeight="1">
      <x:c r="A253" s="4" t="str">
        <x:v>K084</x:v>
      </x:c>
      <x:c r="B253" s="4" t="str">
        <x:v>broader</x:v>
      </x:c>
      <x:c r="C253" s="4" t="str">
        <x:v>AI agents become capable of completing commercial transactions for users.</x:v>
      </x:c>
      <x:c r="D253" s="4" t="n">
        <x:v>2019</x:v>
      </x:c>
      <x:c r="E253" s="4" t="str">
        <x:v>PARTLY_FULFILLED</x:v>
      </x:c>
      <x:c r="F253" s="4" t="str">
        <x:v>FULFILLED</x:v>
      </x:c>
      <x:c r="G253" s="4" t="str">
        <x:v>LATE</x:v>
      </x:c>
      <x:c r="H253" s="4" t="n">
        <x:v>1</x:v>
      </x:c>
      <x:c r="I253" s="4" t="str">
        <x:v>The later agentic-commerce offering realizes useful transactional agents, without a market-share claim.</x:v>
      </x:c>
      <x:c r="J253" s="4" t="str">
        <x:v>Vast majority; Routine human-free inter-agent execution</x:v>
      </x:c>
      <x:c r="K253" s="4" t="str">
        <x:v>ALTERNATIVE_READING</x:v>
      </x:c>
      <x:c r="L253" s="4" t="str">
        <x:v>https://cloud.google.com/blog/products/ai-machine-learning/announcing-agents-to-payments-ap2-protocol
https://cloud.google.com/blog/topics/financial-services/introducing-an-agentic-commerce-solution-for-merchants-from-paypal-and-google-cloud
https://www.census.gov/retail/eCommerce.html</x:v>
      </x:c>
    </x:row>
  </x:sheetData>
  <x:conditionalFormatting sqref="G2:G253">
    <x:cfRule type="expression" dxfId="5" priority="1">
      <x:formula>G2="CORRECT"</x:formula>
    </x:cfRule>
    <x:cfRule type="expression" dxfId="6" priority="2">
      <x:formula>G2="LATE"</x:formula>
    </x:cfRule>
    <x:cfRule type="expression" dxfId="7" priority="3">
      <x:formula>G2="PARTIAL"</x:formula>
    </x:cfRule>
    <x:cfRule type="expression" dxfId="8" priority="4">
      <x:formula>G2="WRONG"</x:formula>
    </x:cfRule>
    <x:cfRule type="expression" dxfId="9" priority="5">
      <x:formula>G2="PENDING"</x:formula>
    </x:cfRule>
  </x:conditionalFormatting>
  <x:pageMargins left="0.7" right="0.7" top="0.75" bottom="0.75" header="0.3" footer="0.3"/>
  <x:tableParts count="1">
    <x:tablePart xmlns:r="http://schemas.openxmlformats.org/officeDocument/2006/relationships" r:id="Rd4742e6e90e14710"/>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40" hidden="0" customWidth="1"/>
    <x:col min="3" max="3" width="18" hidden="0" customWidth="1"/>
    <x:col min="4" max="4" width="18" hidden="0" customWidth="1"/>
    <x:col min="5" max="5" width="30" hidden="0" customWidth="1"/>
    <x:col min="6" max="6" width="18" hidden="0" customWidth="1"/>
    <x:col min="7" max="7" width="22" hidden="0" customWidth="1"/>
    <x:col min="8" max="8" width="22" hidden="0" customWidth="1"/>
    <x:col min="9" max="9" width="14" hidden="0" customWidth="1"/>
    <x:col min="10" max="10" width="40" hidden="0" customWidth="1"/>
    <x:col min="11" max="11" width="35" hidden="0" customWidth="1"/>
    <x:col min="12" max="12" width="35" hidden="0" customWidth="1"/>
    <x:col min="13" max="13" width="40" hidden="0" customWidth="1"/>
    <x:col min="14" max="14" width="40" hidden="0" customWidth="1"/>
  </x:cols>
  <x:sheetData>
    <x:row r="1" ht="32" customHeight="1">
      <x:c r="A1" s="9" t="str">
        <x:v>Legacy ID</x:v>
      </x:c>
      <x:c r="B1" s="9" t="str">
        <x:v>Original prediction</x:v>
      </x:c>
      <x:c r="C1" s="9" t="str">
        <x:v>Original target</x:v>
      </x:c>
      <x:c r="D1" s="9" t="str">
        <x:v>Canonical IDs</x:v>
      </x:c>
      <x:c r="E1" s="9" t="str">
        <x:v>Assessment basis</x:v>
      </x:c>
      <x:c r="F1" s="9" t="str">
        <x:v>Conditional verdict</x:v>
      </x:c>
      <x:c r="G1" s="9" t="str">
        <x:v>At deadline</x:v>
      </x:c>
      <x:c r="H1" s="9" t="str">
        <x:v>By review</x:v>
      </x:c>
      <x:c r="I1" s="9" t="str">
        <x:v>Assumed deadline</x:v>
      </x:c>
      <x:c r="J1" s="9" t="str">
        <x:v>Explanation</x:v>
      </x:c>
      <x:c r="K1" s="9" t="str">
        <x:v>Date note</x:v>
      </x:c>
      <x:c r="L1" s="9" t="str">
        <x:v>Broader reading</x:v>
      </x:c>
      <x:c r="M1" s="9" t="str">
        <x:v>Components</x:v>
      </x:c>
      <x:c r="N1" s="9" t="str">
        <x:v>Evidence URLs</x:v>
      </x:c>
    </x:row>
    <x:row r="2" ht="160" customHeight="1">
      <x:c r="A2" s="4" t="str">
        <x:v>AUD-001</x:v>
      </x:c>
      <x:c r="B2" s="4" t="str">
        <x:v>Computer will defeat world chess champion by 1998.</x:v>
      </x:c>
      <x:c r="C2" s="4" t="str">
        <x:v>1998</x:v>
      </x:c>
      <x:c r="D2" s="4" t="str">
        <x:v>K001</x:v>
      </x:c>
      <x:c r="E2" s="4" t="str">
        <x:v>USE_LINKED_CANONICAL_CLAIM_WITH_EXPLICIT_CORRECTED_SCOPE</x:v>
      </x:c>
      <x:c r="F2" s="4" t="str"/>
      <x:c r="G2" s="4" t="str"/>
      <x:c r="H2" s="4" t="str"/>
      <x:c r="I2" s="4" t="str"/>
      <x:c r="J2" s="4" t="str">
        <x:v>Outcome judgments are completed on the linked source-matched criteria. Preserve the original wording/date and this reconciliation; do not represent a corrected scope as a verbatim import.</x:v>
      </x:c>
      <x:c r="K2" s="4" t="str"/>
      <x:c r="L2" s="4" t="str"/>
      <x:c r="M2" s="4" t="str">
        <x:v>[{"id": "K001", "title": "Computer defeats the world chess champion", "verdict": "CORRECT", "at_deadline": "FULFILLED", "at_review": "FULFILLED"}]</x:v>
      </x:c>
      <x:c r="N2" s="4" t="str"/>
    </x:row>
    <x:row r="3" ht="160" customHeight="1">
      <x:c r="A3" s="4" t="str">
        <x:v>DEC-001</x:v>
      </x:c>
      <x:c r="B3" s="4" t="str">
        <x:v>Computer will beat world chess champion by 2000</x:v>
      </x:c>
      <x:c r="C3" s="4" t="str">
        <x:v>2000</x:v>
      </x:c>
      <x:c r="D3" s="4" t="str">
        <x:v>K001</x:v>
      </x:c>
      <x:c r="E3" s="4" t="str">
        <x:v>USE_LINKED_CANONICAL_CLAIM_WITH_EXPLICIT_CORRECTED_SCOPE</x:v>
      </x:c>
      <x:c r="F3" s="4" t="str"/>
      <x:c r="G3" s="4" t="str"/>
      <x:c r="H3" s="4" t="str"/>
      <x:c r="I3" s="4" t="str"/>
      <x:c r="J3" s="4" t="str">
        <x:v>Outcome judgments are completed on the linked source-matched criteria. Preserve the original wording/date and this reconciliation; do not represent a corrected scope as a verbatim import.</x:v>
      </x:c>
      <x:c r="K3" s="4" t="str"/>
      <x:c r="L3" s="4" t="str"/>
      <x:c r="M3" s="4" t="str">
        <x:v>[{"id": "K001", "title": "Computer defeats the world chess champion", "verdict": "CORRECT", "at_deadline": "FULFILLED", "at_review": "FULFILLED"}]</x:v>
      </x:c>
      <x:c r="N3" s="4" t="str"/>
    </x:row>
    <x:row r="4" ht="160" customHeight="1">
      <x:c r="A4" s="4" t="str">
        <x:v>EXE-001</x:v>
      </x:c>
      <x:c r="B4" s="4" t="str">
        <x:v>“we will see a [computer] world champion by the year 2000”【45†L226-L233】</x:v>
      </x:c>
      <x:c r="C4" s="4" t="str">
        <x:v>2000</x:v>
      </x:c>
      <x:c r="D4" s="4" t="str">
        <x:v>K001</x:v>
      </x:c>
      <x:c r="E4" s="4" t="str">
        <x:v>USE_LINKED_CANONICAL_CLAIM_WITH_EXPLICIT_CORRECTED_SCOPE</x:v>
      </x:c>
      <x:c r="F4" s="4" t="str"/>
      <x:c r="G4" s="4" t="str"/>
      <x:c r="H4" s="4" t="str"/>
      <x:c r="I4" s="4" t="str"/>
      <x:c r="J4" s="4" t="str">
        <x:v>Outcome judgments are completed on the linked source-matched criteria. Preserve the original wording/date and this reconciliation; do not represent a corrected scope as a verbatim import.</x:v>
      </x:c>
      <x:c r="K4" s="4" t="str"/>
      <x:c r="L4" s="4" t="str"/>
      <x:c r="M4" s="4" t="str">
        <x:v>[{"id": "K001", "title": "Computer defeats the world chess champion", "verdict": "CORRECT", "at_deadline": "FULFILLED", "at_review": "FULFILLED"}]</x:v>
      </x:c>
      <x:c r="N4" s="4" t="str"/>
    </x:row>
    <x:row r="5" ht="160" customHeight="1">
      <x:c r="A5" s="4" t="str">
        <x:v>AUD-002</x:v>
      </x:c>
      <x:c r="B5" s="4" t="str">
        <x:v>Global Internet will connect everyone to information.</x:v>
      </x:c>
      <x:c r="C5" s="4" t="str">
        <x:v>(unspecified)</x:v>
      </x:c>
      <x:c r="D5" s="4" t="str"/>
      <x:c r="E5" s="4" t="str">
        <x:v>CONDITIONAL_ON_IMPORTED_WORDING_NOT_VERIFIED_ATTRIBUTION</x:v>
      </x:c>
      <x:c r="F5" s="4" t="str">
        <x:v>PARTIAL</x:v>
      </x:c>
      <x:c r="G5" s="4" t="str">
        <x:v>UNDATED</x:v>
      </x:c>
      <x:c r="H5" s="4" t="str">
        <x:v>PARTLY_FULFILLED</x:v>
      </x:c>
      <x:c r="I5" s="4" t="str"/>
      <x:c r="J5" s="4" t="str">
        <x:v>The network exists at global scale, but ITU estimates 2.2 billion people offline in 2025. Literal everyone is partial; broadly global access is fulfilled. No dated score is possible.</x:v>
      </x:c>
      <x:c r="K5" s="4" t="str"/>
      <x:c r="L5" s="4" t="str">
        <x:v>CORRECT under global reach, without universal individual use.</x:v>
      </x:c>
      <x:c r="M5" s="4" t="str">
        <x:v>[]</x:v>
      </x:c>
      <x:c r="N5" s="4" t="str">
        <x:v>https://www.itu.int/en/ITU-D/Statistics/Pages/stat/default.aspx</x:v>
      </x:c>
    </x:row>
    <x:row r="6" ht="160" customHeight="1">
      <x:c r="A6" s="4" t="str">
        <x:v>DEC-003</x:v>
      </x:c>
      <x:c r="B6" s="4" t="str">
        <x:v>Internet will explode in users and content</x:v>
      </x:c>
      <x:c r="C6" s="4" t="str">
        <x:v>2000s</x:v>
      </x:c>
      <x:c r="D6" s="4" t="str"/>
      <x:c r="E6" s="4" t="str">
        <x:v>CONDITIONAL_ON_IMPORTED_WORDING_NOT_VERIFIED_ATTRIBUTION</x:v>
      </x:c>
      <x:c r="F6" s="4" t="str">
        <x:v>CORRECT</x:v>
      </x:c>
      <x:c r="G6" s="4" t="str">
        <x:v>FULFILLED</x:v>
      </x:c>
      <x:c r="H6" s="4" t="str">
        <x:v>FULFILLED</x:v>
      </x:c>
      <x:c r="I6" s="4" t="str">
        <x:v>2009</x:v>
      </x:c>
      <x:c r="J6" s="4" t="str">
        <x:v>CERN’s Web history and ITU’s five-year doubling to 2010 substantiate explosive growth. The date/wording attribution remains separate from the obvious realized outcome.</x:v>
      </x:c>
      <x:c r="K6" s="4" t="str"/>
      <x:c r="L6" s="4" t="str"/>
      <x:c r="M6" s="4" t="str">
        <x:v>[]</x:v>
      </x:c>
      <x:c r="N6" s="4" t="str">
        <x:v>https://home.cern/science/computing/the-birth-of-the-web/ | https://www.itu.int/ITU-D/ict/material/FactsFigures2010.pdf | https://www.itu.int/en/ITU-D/Statistics/Pages/stat/default.aspx</x:v>
      </x:c>
    </x:row>
    <x:row r="7" ht="160" customHeight="1">
      <x:c r="A7" s="4" t="str">
        <x:v>AUD-003</x:v>
      </x:c>
      <x:c r="B7" s="4" t="str">
        <x:v>Communication tech will democratize society and contribute to the USSR’s collapse.</x:v>
      </x:c>
      <x:c r="C7" s="4" t="str">
        <x:v>~1990s</x:v>
      </x:c>
      <x:c r="D7" s="4" t="str">
        <x:v>K040</x:v>
      </x:c>
      <x:c r="E7" s="4" t="str">
        <x:v>USE_LINKED_CANONICAL_CLAIM_WITH_EXPLICIT_CORRECTED_SCOPE</x:v>
      </x:c>
      <x:c r="F7" s="4" t="str"/>
      <x:c r="G7" s="4" t="str"/>
      <x:c r="H7" s="4" t="str"/>
      <x:c r="I7" s="4" t="str"/>
      <x:c r="J7" s="4" t="str">
        <x:v>Outcome judgments are completed on the linked source-matched criteria. Preserve the original wording/date and this reconciliation; do not represent a corrected scope as a verbatim import.</x:v>
      </x:c>
      <x:c r="K7" s="4" t="str"/>
      <x:c r="L7" s="4" t="str"/>
      <x:c r="M7" s="4" t="str">
        <x:v>[{"id": "K040", "title": "Information technology pressures authoritarian control", "verdict": "PARTIAL", "at_deadline": "UNDATED", "at_review": "PARTLY_FULFILLED"}]</x:v>
      </x:c>
      <x:c r="N7" s="4" t="str"/>
    </x:row>
    <x:row r="8" ht="160" customHeight="1">
      <x:c r="A8" s="4" t="str">
        <x:v>DEC-002</x:v>
      </x:c>
      <x:c r="B8" s="4" t="str">
        <x:v>Authoritarian regimes will collapse as tech spreads</x:v>
      </x:c>
      <x:c r="C8" s="4" t="str">
        <x:v>1990s</x:v>
      </x:c>
      <x:c r="D8" s="4" t="str">
        <x:v>K040</x:v>
      </x:c>
      <x:c r="E8" s="4" t="str">
        <x:v>USE_LINKED_CANONICAL_CLAIM_WITH_EXPLICIT_CORRECTED_SCOPE</x:v>
      </x:c>
      <x:c r="F8" s="4" t="str"/>
      <x:c r="G8" s="4" t="str"/>
      <x:c r="H8" s="4" t="str"/>
      <x:c r="I8" s="4" t="str"/>
      <x:c r="J8" s="4" t="str">
        <x:v>Outcome judgments are completed on the linked source-matched criteria. Preserve the original wording/date and this reconciliation; do not represent a corrected scope as a verbatim import.</x:v>
      </x:c>
      <x:c r="K8" s="4" t="str"/>
      <x:c r="L8" s="4" t="str"/>
      <x:c r="M8" s="4" t="str">
        <x:v>[{"id": "K040", "title": "Information technology pressures authoritarian control", "verdict": "PARTIAL", "at_deadline": "UNDATED", "at_review": "PARTLY_FULFILLED"}]</x:v>
      </x:c>
      <x:c r="N8" s="4" t="str"/>
    </x:row>
    <x:row r="9" ht="160" customHeight="1">
      <x:c r="A9" s="4" t="str">
        <x:v>AUD-004</x:v>
      </x:c>
      <x:c r="B9" s="4" t="str">
        <x:v>Portable computers will be much lighter/thinner by ~2010.</x:v>
      </x:c>
      <x:c r="C9" s="4" t="str">
        <x:v>2009</x:v>
      </x:c>
      <x:c r="D9" s="4" t="str">
        <x:v>K002</x:v>
      </x:c>
      <x:c r="E9" s="4" t="str">
        <x:v>USE_LINKED_CANONICAL_CLAIM_WITH_EXPLICIT_CORRECTED_SCOPE</x:v>
      </x:c>
      <x:c r="F9" s="4" t="str"/>
      <x:c r="G9" s="4" t="str"/>
      <x:c r="H9" s="4" t="str"/>
      <x:c r="I9" s="4" t="str"/>
      <x:c r="J9" s="4" t="str">
        <x:v>Outcome judgments are completed on the linked source-matched criteria. Preserve the original wording/date and this reconciliation; do not represent a corrected scope as a verbatim import.</x:v>
      </x:c>
      <x:c r="K9" s="4" t="str"/>
      <x:c r="L9" s="4" t="str"/>
      <x:c r="M9" s="4" t="str">
        <x:v>[{"id": "K002", "title": "Lighter and thinner portable computers", "verdict": "CORRECT", "at_deadline": "FULFILLED", "at_review": "FULFILLED"}]</x:v>
      </x:c>
      <x:c r="N9" s="4" t="str"/>
    </x:row>
    <x:row r="10" ht="160" customHeight="1">
      <x:c r="A10" s="4" t="str">
        <x:v>AUD-005</x:v>
      </x:c>
      <x:c r="B10" s="4" t="str">
        <x:v>Computers will be embedded in clothing and personal accessories by 2010.</x:v>
      </x:c>
      <x:c r="C10" s="4" t="str">
        <x:v>2009</x:v>
      </x:c>
      <x:c r="D10" s="4" t="str">
        <x:v>K003</x:v>
      </x:c>
      <x:c r="E10" s="4" t="str">
        <x:v>USE_LINKED_CANONICAL_CLAIM_WITH_EXPLICIT_CORRECTED_SCOPE</x:v>
      </x:c>
      <x:c r="F10" s="4" t="str"/>
      <x:c r="G10" s="4" t="str"/>
      <x:c r="H10" s="4" t="str"/>
      <x:c r="I10" s="4" t="str"/>
      <x:c r="J10" s="4" t="str">
        <x:v>Outcome judgments are completed on the linked source-matched criteria. Preserve the original wording/date and this reconciliation; do not represent a corrected scope as a verbatim import.</x:v>
      </x:c>
      <x:c r="K10" s="4" t="str"/>
      <x:c r="L10" s="4" t="str"/>
      <x:c r="M10" s="4" t="str">
        <x:v>[{"id": "K003", "title": "Computers embedded in clothing and jewelry", "verdict": "LATE", "at_deadline": "PARTLY_FULFILLED", "at_review": "FULFILLED"}]</x:v>
      </x:c>
      <x:c r="N10" s="4" t="str"/>
    </x:row>
    <x:row r="11" ht="160" customHeight="1">
      <x:c r="A11" s="4" t="str">
        <x:v>DEC-011</x:v>
      </x:c>
      <x:c r="B11" s="4" t="str">
        <x:v>Wearable computers common by 2009</x:v>
      </x:c>
      <x:c r="C11" s="4" t="str">
        <x:v>2009</x:v>
      </x:c>
      <x:c r="D11" s="4" t="str">
        <x:v>K003</x:v>
      </x:c>
      <x:c r="E11" s="4" t="str">
        <x:v>USE_LINKED_CANONICAL_CLAIM_WITH_EXPLICIT_CORRECTED_SCOPE</x:v>
      </x:c>
      <x:c r="F11" s="4" t="str"/>
      <x:c r="G11" s="4" t="str"/>
      <x:c r="H11" s="4" t="str"/>
      <x:c r="I11" s="4" t="str"/>
      <x:c r="J11" s="4" t="str">
        <x:v>Outcome judgments are completed on the linked source-matched criteria. Preserve the original wording/date and this reconciliation; do not represent a corrected scope as a verbatim import.</x:v>
      </x:c>
      <x:c r="K11" s="4" t="str"/>
      <x:c r="L11" s="4" t="str"/>
      <x:c r="M11" s="4" t="str">
        <x:v>[{"id": "K003", "title": "Computers embedded in clothing and jewelry", "verdict": "LATE", "at_deadline": "PARTLY_FULFILLED", "at_review": "FULFILLED"}]</x:v>
      </x:c>
      <x:c r="N11" s="4" t="str"/>
    </x:row>
    <x:row r="12" ht="160" customHeight="1">
      <x:c r="A12" s="4" t="str">
        <x:v>AUD-006</x:v>
      </x:c>
      <x:c r="B12" s="4" t="str">
        <x:v>People will carry many networked devices (body LANs) by 2009.</x:v>
      </x:c>
      <x:c r="C12" s="4" t="str">
        <x:v>2009</x:v>
      </x:c>
      <x:c r="D12" s="4" t="str">
        <x:v>K004</x:v>
      </x:c>
      <x:c r="E12" s="4" t="str">
        <x:v>CONDITIONAL_ON_IMPORTED_WORDING_NOT_VERIFIED_ATTRIBUTION</x:v>
      </x:c>
      <x:c r="F12" s="4" t="str">
        <x:v>LATE</x:v>
      </x:c>
      <x:c r="G12" s="4" t="str">
        <x:v>PARTLY_FULFILLED</x:v>
      </x:c>
      <x:c r="H12" s="4" t="str">
        <x:v>FULFILLED</x:v>
      </x:c>
      <x:c r="I12" s="4" t="str">
        <x:v>2009</x:v>
      </x:c>
      <x:c r="J12" s="4" t="str">
        <x:v>Several mobile devices and wireless links existed before 2009, with personal phone/watch/audio ecosystems later clear. The import omits the sourced twelve-device threshold; that stricter sourced claim K004 remains missed.</x:v>
      </x:c>
      <x:c r="K12" s="4" t="str"/>
      <x:c r="L12" s="4" t="str"/>
      <x:c r="M12" s="4" t="str">
        <x:v>[]</x:v>
      </x:c>
      <x:c r="N12" s="4" t="str">
        <x:v>https://www.pewresearch.org/internet/2010/10/14/americans-and-their-gadgets/ | https://www.apple.com/ca/newsroom/2003/09/16Apple-Introduces-Wireless-Keyboard-Mouse/ | https://www.apple.com/newsroom/2018/09/redesigned-apple-watch-series-4-revolutionizes-communication-fitness-and-health/ | https://support.apple.com/en-kz/guide/airpods/dev00eb7e0a3/web</x:v>
      </x:c>
    </x:row>
    <x:row r="13" ht="160" customHeight="1">
      <x:c r="A13" s="4" t="str">
        <x:v>AUD-007</x:v>
      </x:c>
      <x:c r="B13" s="4" t="str">
        <x:v>Personal devices will be solid-state (no moving parts) by 2009.</x:v>
      </x:c>
      <x:c r="C13" s="4" t="str">
        <x:v>2009</x:v>
      </x:c>
      <x:c r="D13" s="4" t="str">
        <x:v>K005</x:v>
      </x:c>
      <x:c r="E13" s="4" t="str">
        <x:v>USE_LINKED_CANONICAL_CLAIM_WITH_EXPLICIT_CORRECTED_SCOPE</x:v>
      </x:c>
      <x:c r="F13" s="4" t="str"/>
      <x:c r="G13" s="4" t="str"/>
      <x:c r="H13" s="4" t="str"/>
      <x:c r="I13" s="4" t="str"/>
      <x:c r="J13" s="4" t="str">
        <x:v>Outcome judgments are completed on the linked source-matched criteria. Preserve the original wording/date and this reconciliation; do not represent a corrected scope as a verbatim import.</x:v>
      </x:c>
      <x:c r="K13" s="4" t="str"/>
      <x:c r="L13" s="4" t="str"/>
      <x:c r="M13" s="4" t="str">
        <x:v>[{"id": "K005", "title": "Personal devices largely without moving parts", "verdict": "CORRECT", "at_deadline": "FULFILLED", "at_review": "FULFILLED"}]</x:v>
      </x:c>
      <x:c r="N13" s="4" t="str"/>
    </x:row>
    <x:row r="14" ht="160" customHeight="1">
      <x:c r="A14" s="4" t="str">
        <x:v>AUD-008</x:v>
      </x:c>
      <x:c r="B14" s="4" t="str">
        <x:v>Most mobile computing will be by touch/voice, not keyboards, by 2010.</x:v>
      </x:c>
      <x:c r="C14" s="4" t="str">
        <x:v>2009</x:v>
      </x:c>
      <x:c r="D14" s="4" t="str">
        <x:v>K006</x:v>
      </x:c>
      <x:c r="E14" s="4" t="str">
        <x:v>USE_LINKED_CANONICAL_CLAIM_WITH_EXPLICIT_CORRECTED_SCOPE</x:v>
      </x:c>
      <x:c r="F14" s="4" t="str"/>
      <x:c r="G14" s="4" t="str"/>
      <x:c r="H14" s="4" t="str"/>
      <x:c r="I14" s="4" t="str"/>
      <x:c r="J14" s="4" t="str">
        <x:v>Outcome judgments are completed on the linked source-matched criteria. Preserve the original wording/date and this reconciliation; do not represent a corrected scope as a verbatim import.</x:v>
      </x:c>
      <x:c r="K14" s="4" t="str"/>
      <x:c r="L14" s="4" t="str"/>
      <x:c r="M14" s="4" t="str">
        <x:v>[{"id": "K006", "title": "Most portable computers lack keyboards", "verdict": "LATE", "at_deadline": "PARTLY_FULFILLED", "at_review": "FULFILLED"}]</x:v>
      </x:c>
      <x:c r="N14" s="4" t="str"/>
    </x:row>
    <x:row r="15" ht="160" customHeight="1">
      <x:c r="A15" s="4" t="str">
        <x:v>AUD-009</x:v>
      </x:c>
      <x:c r="B15" s="4" t="str">
        <x:v>Most people will store data (music, video, docs) on their own servers by 2010.</x:v>
      </x:c>
      <x:c r="C15" s="4" t="str">
        <x:v>2009</x:v>
      </x:c>
      <x:c r="D15" s="4" t="str">
        <x:v>K007</x:v>
      </x:c>
      <x:c r="E15" s="4" t="str">
        <x:v>USE_LINKED_CANONICAL_CLAIM_WITH_EXPLICIT_CORRECTED_SCOPE</x:v>
      </x:c>
      <x:c r="F15" s="4" t="str"/>
      <x:c r="G15" s="4" t="str"/>
      <x:c r="H15" s="4" t="str"/>
      <x:c r="I15" s="4" t="str"/>
      <x:c r="J15" s="4" t="str">
        <x:v>Outcome judgments are completed on the linked source-matched criteria. Preserve the original wording/date and this reconciliation; do not represent a corrected scope as a verbatim import.</x:v>
      </x:c>
      <x:c r="K15" s="4" t="str"/>
      <x:c r="L15" s="4" t="str"/>
      <x:c r="M15" s="4" t="str">
        <x:v>[{"id": "K007", "title": "Home and office servers for most users", "verdict": "PARTIAL", "at_deadline": "PARTLY_FULFILLED", "at_review": "PARTLY_FULFILLED"}]</x:v>
      </x:c>
      <x:c r="N15" s="4" t="str"/>
    </x:row>
    <x:row r="16" ht="160" customHeight="1">
      <x:c r="A16" s="4" t="str">
        <x:v>AUD-010</x:v>
      </x:c>
      <x:c r="B16" s="4" t="str">
        <x:v>Media (music, books, movies) will be distributed mostly digitally by 2010.</x:v>
      </x:c>
      <x:c r="C16" s="4" t="str">
        <x:v>2009</x:v>
      </x:c>
      <x:c r="D16" s="4" t="str">
        <x:v>K008</x:v>
      </x:c>
      <x:c r="E16" s="4" t="str">
        <x:v>CONDITIONAL_ON_IMPORTED_WORDING_NOT_VERIFIED_ATTRIBUTION</x:v>
      </x:c>
      <x:c r="F16" s="4" t="str">
        <x:v>PARTIAL</x:v>
      </x:c>
      <x:c r="G16" s="4" t="str">
        <x:v>PARTLY_FULFILLED</x:v>
      </x:c>
      <x:c r="H16" s="4" t="str">
        <x:v>PARTLY_FULFILLED</x:v>
      </x:c>
      <x:c r="I16" s="4" t="str">
        <x:v>2009</x:v>
      </x:c>
      <x:c r="J16" s="4" t="str">
        <x:v>Digital distribution was real, but the import adds a majority requirement across several media. Music now clearly qualifies; print-book readership remains predominant. The narrower sourced digital-file availability claim K008 is separately correct.</x:v>
      </x:c>
      <x:c r="K16" s="4" t="str"/>
      <x:c r="L16" s="4" t="str"/>
      <x:c r="M16" s="4" t="str">
        <x:v>[]</x:v>
      </x:c>
      <x:c r="N16" s="4" t="str">
        <x:v>https://www.apple.com/newsroom/2008/06/19iTunes-Store-Tops-Over-Five-Billion-Songs-Sold/ | https://www.apple.com/newsroom/2008/07/14iPhone-App-Store-Downloads-Top-10-Million-in-First-Weekend/ | https://www.pewresearch.org/short-reads/2026/04/09/americans-still-opt-for-print-books-over-digital-or-audio-versions-few-are-in-book-clubs/ | https://www.riaa.com/reports/</x:v>
      </x:c>
    </x:row>
    <x:row r="17" ht="160" customHeight="1">
      <x:c r="A17" s="4" t="str">
        <x:v>AUD-011</x:v>
      </x:c>
      <x:c r="B17" s="4" t="str">
        <x:v>Wired cables will vanish in favor of short-range wireless by 2010.</x:v>
      </x:c>
      <x:c r="C17" s="4" t="str">
        <x:v>2009</x:v>
      </x:c>
      <x:c r="D17" s="4" t="str">
        <x:v>K009</x:v>
      </x:c>
      <x:c r="E17" s="4" t="str">
        <x:v>CONDITIONAL_ON_IMPORTED_WORDING_NOT_VERIFIED_ATTRIBUTION</x:v>
      </x:c>
      <x:c r="F17" s="4" t="str">
        <x:v>PARTIAL</x:v>
      </x:c>
      <x:c r="G17" s="4" t="str">
        <x:v>PARTLY_FULFILLED</x:v>
      </x:c>
      <x:c r="H17" s="4" t="str">
        <x:v>PARTLY_FULFILLED</x:v>
      </x:c>
      <x:c r="I17" s="4" t="str">
        <x:v>2009</x:v>
      </x:c>
      <x:c r="J17" s="4" t="str">
        <x:v>Short-range wireless genuinely replaced some cables, but complete disappearance is not achieved. K009 assesses the actual directional “disappearing” wording rather than this exaggerated import.</x:v>
      </x:c>
      <x:c r="K17" s="4" t="str"/>
      <x:c r="L17" s="4" t="str"/>
      <x:c r="M17" s="4" t="str">
        <x:v>[]</x:v>
      </x:c>
      <x:c r="N17" s="4" t="str">
        <x:v>https://www.apple.com/ca/newsroom/2003/09/16Apple-Introduces-Wireless-Keyboard-Mouse/ | https://www.apple.com/newsroom/2018/09/redesigned-apple-watch-series-4-revolutionizes-communication-fitness-and-health/</x:v>
      </x:c>
    </x:row>
    <x:row r="18" ht="160" customHeight="1">
      <x:c r="A18" s="4" t="str">
        <x:v>AUD-012</x:v>
      </x:c>
      <x:c r="B18" s="4" t="str">
        <x:v>High-speed wireless networking will be ubiquitous by 2010.</x:v>
      </x:c>
      <x:c r="C18" s="4" t="str">
        <x:v>2009</x:v>
      </x:c>
      <x:c r="D18" s="4" t="str">
        <x:v>K010</x:v>
      </x:c>
      <x:c r="E18" s="4" t="str">
        <x:v>USE_LINKED_CANONICAL_CLAIM_WITH_EXPLICIT_CORRECTED_SCOPE</x:v>
      </x:c>
      <x:c r="F18" s="4" t="str"/>
      <x:c r="G18" s="4" t="str"/>
      <x:c r="H18" s="4" t="str"/>
      <x:c r="I18" s="4" t="str"/>
      <x:c r="J18" s="4" t="str">
        <x:v>Outcome judgments are completed on the linked source-matched criteria. Preserve the original wording/date and this reconciliation; do not represent a corrected scope as a verbatim import.</x:v>
      </x:c>
      <x:c r="K18" s="4" t="str"/>
      <x:c r="L18" s="4" t="str"/>
      <x:c r="M18" s="4" t="str">
        <x:v>[{"id": "K010", "title": "Routine, reliable, high-bandwidth wireless access", "verdict": "CORRECT", "at_deadline": "FULFILLED", "at_review": "FULFILLED"}]</x:v>
      </x:c>
      <x:c r="N18" s="4" t="str"/>
    </x:row>
    <x:row r="19" ht="160" customHeight="1">
      <x:c r="A19" s="4" t="str">
        <x:v>DEC-013</x:v>
      </x:c>
      <x:c r="B19" s="4" t="str">
        <x:v>People use the Web mainly wirelessly by 2009</x:v>
      </x:c>
      <x:c r="C19" s="4" t="str">
        <x:v>2009</x:v>
      </x:c>
      <x:c r="D19" s="4" t="str">
        <x:v>K010</x:v>
      </x:c>
      <x:c r="E19" s="4" t="str">
        <x:v>USE_LINKED_CANONICAL_CLAIM_WITH_EXPLICIT_CORRECTED_SCOPE</x:v>
      </x:c>
      <x:c r="F19" s="4" t="str"/>
      <x:c r="G19" s="4" t="str"/>
      <x:c r="H19" s="4" t="str"/>
      <x:c r="I19" s="4" t="str"/>
      <x:c r="J19" s="4" t="str">
        <x:v>Outcome judgments are completed on the linked source-matched criteria. Preserve the original wording/date and this reconciliation; do not represent a corrected scope as a verbatim import.</x:v>
      </x:c>
      <x:c r="K19" s="4" t="str"/>
      <x:c r="L19" s="4" t="str"/>
      <x:c r="M19" s="4" t="str">
        <x:v>[{"id": "K010", "title": "Routine, reliable, high-bandwidth wireless access", "verdict": "CORRECT", "at_deadline": "FULFILLED", "at_review": "FULFILLED"}]</x:v>
      </x:c>
      <x:c r="N19" s="4" t="str"/>
    </x:row>
    <x:row r="20" ht="160" customHeight="1">
      <x:c r="A20" s="4" t="str">
        <x:v>AUD-013</x:v>
      </x:c>
      <x:c r="B20" s="4" t="str">
        <x:v>Most text will be created via dictation by 2010.</x:v>
      </x:c>
      <x:c r="C20" s="4" t="str">
        <x:v>2009</x:v>
      </x:c>
      <x:c r="D20" s="4" t="str">
        <x:v>K011</x:v>
      </x:c>
      <x:c r="E20" s="4" t="str">
        <x:v>USE_LINKED_CANONICAL_CLAIM_WITH_EXPLICIT_CORRECTED_SCOPE</x:v>
      </x:c>
      <x:c r="F20" s="4" t="str"/>
      <x:c r="G20" s="4" t="str"/>
      <x:c r="H20" s="4" t="str"/>
      <x:c r="I20" s="4" t="str"/>
      <x:c r="J20" s="4" t="str">
        <x:v>Outcome judgments are completed on the linked source-matched criteria. Preserve the original wording/date and this reconciliation; do not represent a corrected scope as a verbatim import.</x:v>
      </x:c>
      <x:c r="K20" s="4" t="str"/>
      <x:c r="L20" s="4" t="str"/>
      <x:c r="M20" s="4" t="str">
        <x:v>[{"id": "K011", "title": "Dictation creates the majority of text", "verdict": "WRONG", "at_deadline": "NOT_FULFILLED", "at_review": "NOT_FULFILLED"}]</x:v>
      </x:c>
      <x:c r="N20" s="4" t="str"/>
    </x:row>
    <x:row r="21" ht="160" customHeight="1">
      <x:c r="A21" s="4" t="str">
        <x:v>AUD-014</x:v>
      </x:c>
      <x:c r="B21" s="4" t="str">
        <x:v>Voice-based assistants will handle routine tasks by 2010.</x:v>
      </x:c>
      <x:c r="C21" s="4" t="str">
        <x:v>2009</x:v>
      </x:c>
      <x:c r="D21" s="4" t="str">
        <x:v>K012</x:v>
      </x:c>
      <x:c r="E21" s="4" t="str">
        <x:v>CONDITIONAL_ON_IMPORTED_WORDING_NOT_VERIFIED_ATTRIBUTION</x:v>
      </x:c>
      <x:c r="F21" s="4" t="str">
        <x:v>LATE</x:v>
      </x:c>
      <x:c r="G21" s="4" t="str">
        <x:v>PARTLY_FULFILLED</x:v>
      </x:c>
      <x:c r="H21" s="4" t="str">
        <x:v>FULFILLED</x:v>
      </x:c>
      <x:c r="I21" s="4" t="str">
        <x:v>2009</x:v>
      </x:c>
      <x:c r="J21" s="4" t="str">
        <x:v>Early speech interfaces were limited; Siri’s 2011 release documents later practical assistance. The sourced visual-avatar/ubiquity version K012 is assessed separately.</x:v>
      </x:c>
      <x:c r="K21" s="4" t="str">
        <x:v>The import says 2010 in prose but 2009 in its target cell; later full realization is unchanged.</x:v>
      </x:c>
      <x:c r="L21" s="4" t="str"/>
      <x:c r="M21" s="4" t="str">
        <x:v>[]</x:v>
      </x:c>
      <x:c r="N21" s="4" t="str">
        <x:v>https://www.apple.com/newsroom/2011/10/04Apple-Launches-iPhone-4S-iOS-5-iCloud/</x:v>
      </x:c>
    </x:row>
    <x:row r="22" ht="160" customHeight="1">
      <x:c r="A22" s="4" t="str">
        <x:v>AUD-015</x:v>
      </x:c>
      <x:c r="B22" s="4" t="str">
        <x:v>Paper will be largely replaced by high-quality digital displays by 2010.</x:v>
      </x:c>
      <x:c r="C22" s="4" t="str">
        <x:v>2009</x:v>
      </x:c>
      <x:c r="D22" s="4" t="str">
        <x:v>K013</x:v>
      </x:c>
      <x:c r="E22" s="4" t="str">
        <x:v>CONDITIONAL_ON_IMPORTED_WORDING_NOT_VERIFIED_ATTRIBUTION</x:v>
      </x:c>
      <x:c r="F22" s="4" t="str">
        <x:v>PARTIAL</x:v>
      </x:c>
      <x:c r="G22" s="4" t="str">
        <x:v>PARTLY_FULFILLED</x:v>
      </x:c>
      <x:c r="H22" s="4" t="str">
        <x:v>PARTLY_FULFILLED</x:v>
      </x:c>
      <x:c r="I22" s="4" t="str">
        <x:v>2009</x:v>
      </x:c>
      <x:c r="J22" s="4" t="str">
        <x:v>Readable electronic displays existed before the deadline. That does not establish wholesale replacement of paper reading; print remains widely used. The display-quality claim K013 is narrower and correct.</x:v>
      </x:c>
      <x:c r="K22" s="4" t="str"/>
      <x:c r="L22" s="4" t="str"/>
      <x:c r="M22" s="4" t="str">
        <x:v>[]</x:v>
      </x:c>
      <x:c r="N22" s="4" t="str">
        <x:v>https://press.aboutamazon.com/2007/11/introducing-amazon-kindle | https://www.pewresearch.org/short-reads/2026/04/09/americans-still-opt-for-print-books-over-digital-or-audio-versions-few-are-in-book-clubs/</x:v>
      </x:c>
    </x:row>
    <x:row r="23" ht="160" customHeight="1">
      <x:c r="A23" s="4" t="str">
        <x:v>AUD-016</x:v>
      </x:c>
      <x:c r="B23" s="4" t="str">
        <x:v>Augmented-reality displays (e.g. smart glasses) will exist by 2015.</x:v>
      </x:c>
      <x:c r="C23" s="4" t="str">
        <x:v>2010</x:v>
      </x:c>
      <x:c r="D23" s="4" t="str">
        <x:v>K015</x:v>
      </x:c>
      <x:c r="E23" s="4" t="str">
        <x:v>CONDITIONAL_ON_IMPORTED_WORDING_NOT_VERIFIED_ATTRIBUTION</x:v>
      </x:c>
      <x:c r="F23" s="4" t="str">
        <x:v>CORRECT</x:v>
      </x:c>
      <x:c r="G23" s="4" t="str">
        <x:v>FULFILLED</x:v>
      </x:c>
      <x:c r="H23" s="4" t="str">
        <x:v>FULFILLED</x:v>
      </x:c>
      <x:c r="I23" s="4" t="str">
        <x:v>2015</x:v>
      </x:c>
      <x:c r="J23" s="4" t="str">
        <x:v>Head-worn AR was used well before 2015. This loose availability claim must not inherit the separate contact-lens component or the contradictory 2010 cell.</x:v>
      </x:c>
      <x:c r="K23" s="4" t="str">
        <x:v>Text 2015 and target cell 2010 both permit this availability outcome; no contact lens claim is inferred.</x:v>
      </x:c>
      <x:c r="L23" s="4" t="str"/>
      <x:c r="M23" s="4" t="str">
        <x:v>[]</x:v>
      </x:c>
      <x:c r="N23" s="4" t="str">
        <x:v>https://www.theautochannel.com/news/2004/08/10/208323.html</x:v>
      </x:c>
    </x:row>
    <x:row r="24" ht="160" customHeight="1">
      <x:c r="A24" s="4" t="str">
        <x:v>AUD-017</x:v>
      </x:c>
      <x:c r="B24" s="4" t="str">
        <x:v>Wearable projectors will create 3D spatial audio by 2010.</x:v>
      </x:c>
      <x:c r="C24" s="4" t="str">
        <x:v>2010</x:v>
      </x:c>
      <x:c r="D24" s="4" t="str">
        <x:v>K016</x:v>
      </x:c>
      <x:c r="E24" s="4" t="str">
        <x:v>USE_LINKED_CANONICAL_CLAIM_WITH_EXPLICIT_CORRECTED_SCOPE</x:v>
      </x:c>
      <x:c r="F24" s="4" t="str"/>
      <x:c r="G24" s="4" t="str"/>
      <x:c r="H24" s="4" t="str"/>
      <x:c r="I24" s="4" t="str"/>
      <x:c r="J24" s="4" t="str">
        <x:v>Outcome judgments are completed on the linked source-matched criteria. Preserve the original wording/date and this reconciliation; do not represent a corrected scope as a verbatim import.</x:v>
      </x:c>
      <x:c r="K24" s="4" t="str"/>
      <x:c r="L24" s="4" t="str"/>
      <x:c r="M24" s="4" t="str">
        <x:v>[{"id": "K016", "title": "Tiny devices project auditory environments", "verdict": "LATE", "at_deadline": "PARTLY_FULFILLED", "at_review": "FULFILLED"}]</x:v>
      </x:c>
      <x:c r="N24" s="4" t="str"/>
    </x:row>
    <x:row r="25" ht="160" customHeight="1">
      <x:c r="A25" s="4" t="str">
        <x:v>AUD-018</x:v>
      </x:c>
      <x:c r="B25" s="4" t="str">
        <x:v>Full VR systems (high-res, immersion) will be available by 2010.</x:v>
      </x:c>
      <x:c r="C25" s="4" t="str">
        <x:v>2010</x:v>
      </x:c>
      <x:c r="D25" s="4" t="str">
        <x:v>K017</x:v>
      </x:c>
      <x:c r="E25" s="4" t="str">
        <x:v>USE_LINKED_CANONICAL_CLAIM_WITH_EXPLICIT_CORRECTED_SCOPE</x:v>
      </x:c>
      <x:c r="F25" s="4" t="str"/>
      <x:c r="G25" s="4" t="str"/>
      <x:c r="H25" s="4" t="str"/>
      <x:c r="I25" s="4" t="str"/>
      <x:c r="J25" s="4" t="str">
        <x:v>Outcome judgments are completed on the linked source-matched criteria. Preserve the original wording/date and this reconciliation; do not represent a corrected scope as a verbatim import.</x:v>
      </x:c>
      <x:c r="K25" s="4" t="str"/>
      <x:c r="L25" s="4" t="str"/>
      <x:c r="M25" s="4" t="str">
        <x:v>[{"id": "K017", "title": "Anytime immersive audiovisual virtual reality", "verdict": "LATE", "at_deadline": "PARTLY_FULFILLED", "at_review": "FULFILLED"}]</x:v>
      </x:c>
      <x:c r="N25" s="4" t="str"/>
    </x:row>
    <x:row r="26" ht="160" customHeight="1">
      <x:c r="A26" s="4" t="str">
        <x:v>AUD-019</x:v>
      </x:c>
      <x:c r="B26" s="4" t="str">
        <x:v>Augmented reality overlays (e.g. AR apps) will be common by 2010.</x:v>
      </x:c>
      <x:c r="C26" s="4" t="str">
        <x:v>2010</x:v>
      </x:c>
      <x:c r="D26" s="4" t="str">
        <x:v>K018</x:v>
      </x:c>
      <x:c r="E26" s="4" t="str">
        <x:v>CONDITIONAL_ON_IMPORTED_WORDING_NOT_VERIFIED_ATTRIBUTION</x:v>
      </x:c>
      <x:c r="F26" s="4" t="str">
        <x:v>LATE</x:v>
      </x:c>
      <x:c r="G26" s="4" t="str">
        <x:v>PARTLY_FULFILLED</x:v>
      </x:c>
      <x:c r="H26" s="4" t="str">
        <x:v>FULFILLED</x:v>
      </x:c>
      <x:c r="I26" s="4" t="str">
        <x:v>2010</x:v>
      </x:c>
      <x:c r="J26" s="4" t="str">
        <x:v>Industrial head-worn overlays existed before 2010; the 2010 common-use claim was only partial. AR-enabled consumer interfaces later make overlays ordinary as a product category. This does not require most people to own AR glasses.</x:v>
      </x:c>
      <x:c r="K26" s="4" t="str"/>
      <x:c r="L26" s="4" t="str">
        <x:v>CORRECT by 2010 for available practical overlays; source K018 uses the weaker availability criterion.</x:v>
      </x:c>
      <x:c r="M26" s="4" t="str">
        <x:v>[]</x:v>
      </x:c>
      <x:c r="N26" s="4" t="str">
        <x:v>https://www.theautochannel.com/news/2004/08/10/208323.html | https://www.qualcomm.com/news/releases/2019/05/qualcomm-snapdragon-mobile-vr-platform-powers-oculus-quest | https://www.apple.com/ci/newsroom/2025/09/new-apple-intelligence-features-are-available-today/</x:v>
      </x:c>
    </x:row>
    <x:row r="27" ht="160" customHeight="1">
      <x:c r="A27" s="4" t="str">
        <x:v>AUD-020</x:v>
      </x:c>
      <x:c r="B27" s="4" t="str">
        <x:v>Warfare will be dominated by remote weapons/drones by 2010.</x:v>
      </x:c>
      <x:c r="C27" s="4" t="str">
        <x:v>2009</x:v>
      </x:c>
      <x:c r="D27" s="4" t="str">
        <x:v>K019</x:v>
      </x:c>
      <x:c r="E27" s="4" t="str">
        <x:v>USE_LINKED_CANONICAL_CLAIM_WITH_EXPLICIT_CORRECTED_SCOPE</x:v>
      </x:c>
      <x:c r="F27" s="4" t="str"/>
      <x:c r="G27" s="4" t="str"/>
      <x:c r="H27" s="4" t="str"/>
      <x:c r="I27" s="4" t="str"/>
      <x:c r="J27" s="4" t="str">
        <x:v>Outcome judgments are completed on the linked source-matched criteria. Preserve the original wording/date and this reconciliation; do not represent a corrected scope as a verbatim import.</x:v>
      </x:c>
      <x:c r="K27" s="4" t="str"/>
      <x:c r="L27" s="4" t="str"/>
      <x:c r="M27" s="4" t="str">
        <x:v>[{"id": "K019", "title": "People largely removed from the battlefield", "verdict": "WRONG", "at_deadline": "NOT_FULFILLED", "at_review": "NOT_FULFILLED"}]</x:v>
      </x:c>
      <x:c r="N27" s="4" t="str"/>
    </x:row>
    <x:row r="28" ht="160" customHeight="1">
      <x:c r="A28" s="4" t="str">
        <x:v>AUD-021</x:v>
      </x:c>
      <x:c r="B28" s="4" t="str">
        <x:v>War will be carried out by autonomous drones by 2010.</x:v>
      </x:c>
      <x:c r="C28" s="4" t="str">
        <x:v>2009</x:v>
      </x:c>
      <x:c r="D28" s="4" t="str">
        <x:v>K020</x:v>
      </x:c>
      <x:c r="E28" s="4" t="str">
        <x:v>USE_LINKED_CANONICAL_CLAIM_WITH_EXPLICIT_CORRECTED_SCOPE</x:v>
      </x:c>
      <x:c r="F28" s="4" t="str"/>
      <x:c r="G28" s="4" t="str"/>
      <x:c r="H28" s="4" t="str"/>
      <x:c r="I28" s="4" t="str"/>
      <x:c r="J28" s="4" t="str">
        <x:v>Outcome judgments are completed on the linked source-matched criteria. Preserve the original wording/date and this reconciliation; do not represent a corrected scope as a verbatim import.</x:v>
      </x:c>
      <x:c r="K28" s="4" t="str"/>
      <x:c r="L28" s="4" t="str"/>
      <x:c r="M28" s="4" t="str">
        <x:v>[{"id": "K020", "title": "Unmanned aircraft dominate warfare", "verdict": "PARTIAL", "at_deadline": "NOT_FULFILLED", "at_review": "PARTLY_FULFILLED"}]</x:v>
      </x:c>
      <x:c r="N28" s="4" t="str"/>
    </x:row>
    <x:row r="29" ht="160" customHeight="1">
      <x:c r="A29" s="4" t="str">
        <x:v>AUD-022</x:v>
      </x:c>
      <x:c r="B29" s="4" t="str">
        <x:v>Solar energy will meet global demand by ~2028.</x:v>
      </x:c>
      <x:c r="C29" s="4" t="str">
        <x:v>2028</x:v>
      </x:c>
      <x:c r="D29" s="4" t="str">
        <x:v>K021</x:v>
      </x:c>
      <x:c r="E29" s="4" t="str">
        <x:v>USE_LINKED_CANONICAL_CLAIM_WITH_EXPLICIT_CORRECTED_SCOPE</x:v>
      </x:c>
      <x:c r="F29" s="4" t="str"/>
      <x:c r="G29" s="4" t="str"/>
      <x:c r="H29" s="4" t="str"/>
      <x:c r="I29" s="4" t="str"/>
      <x:c r="J29" s="4" t="str">
        <x:v>Outcome judgments are completed on the linked source-matched criteria. Preserve the original wording/date and this reconciliation; do not represent a corrected scope as a verbatim import.</x:v>
      </x:c>
      <x:c r="K29" s="4" t="str"/>
      <x:c r="L29" s="4" t="str"/>
      <x:c r="M29" s="4" t="str">
        <x:v>[{"id": "K021", "title": "Solar meets worldwide energy demand", "verdict": "PENDING", "at_deadline": "NOT_DUE", "at_review": "PARTLY_FULFILLED"}]</x:v>
      </x:c>
      <x:c r="N29" s="4" t="str"/>
    </x:row>
    <x:row r="30" ht="160" customHeight="1">
      <x:c r="A30" s="4" t="str">
        <x:v>AUD-023</x:v>
      </x:c>
      <x:c r="B30" s="4" t="str">
        <x:v>By ~2045 AI will exceed human intelligence (Singularity).</x:v>
      </x:c>
      <x:c r="C30" s="4" t="str">
        <x:v>2045</x:v>
      </x:c>
      <x:c r="D30" s="4" t="str">
        <x:v>K022</x:v>
      </x:c>
      <x:c r="E30" s="4" t="str">
        <x:v>USE_LINKED_CANONICAL_CLAIM_WITH_EXPLICIT_CORRECTED_SCOPE</x:v>
      </x:c>
      <x:c r="F30" s="4" t="str"/>
      <x:c r="G30" s="4" t="str"/>
      <x:c r="H30" s="4" t="str"/>
      <x:c r="I30" s="4" t="str"/>
      <x:c r="J30" s="4" t="str">
        <x:v>Outcome judgments are completed on the linked source-matched criteria. Preserve the original wording/date and this reconciliation; do not represent a corrected scope as a verbatim import.</x:v>
      </x:c>
      <x:c r="K30" s="4" t="str"/>
      <x:c r="L30" s="4" t="str"/>
      <x:c r="M30" s="4" t="str">
        <x:v>[{"id": "K022", "title": "The Singularity and billionfold intelligence expansion", "verdict": "PENDING", "at_deadline": "NOT_DUE", "at_review": "PARTLY_FULFILLED"}]</x:v>
      </x:c>
      <x:c r="N30" s="4" t="str"/>
    </x:row>
    <x:row r="31" ht="160" customHeight="1">
      <x:c r="A31" s="4" t="str">
        <x:v>EXE-028</x:v>
      </x:c>
      <x:c r="B31" s="4" t="str">
        <x:v>“By 2045 the Singularity: computing power ~10^9× human brain, humans merged with machines”【24†L169-L174】【81†L537-L541】</x:v>
      </x:c>
      <x:c r="C31" s="4" t="str">
        <x:v>2045</x:v>
      </x:c>
      <x:c r="D31" s="4" t="str">
        <x:v>K022</x:v>
      </x:c>
      <x:c r="E31" s="4" t="str">
        <x:v>USE_LINKED_CANONICAL_CLAIM_WITH_EXPLICIT_CORRECTED_SCOPE</x:v>
      </x:c>
      <x:c r="F31" s="4" t="str"/>
      <x:c r="G31" s="4" t="str"/>
      <x:c r="H31" s="4" t="str"/>
      <x:c r="I31" s="4" t="str"/>
      <x:c r="J31" s="4" t="str">
        <x:v>Outcome judgments are completed on the linked source-matched criteria. Preserve the original wording/date and this reconciliation; do not represent a corrected scope as a verbatim import.</x:v>
      </x:c>
      <x:c r="K31" s="4" t="str"/>
      <x:c r="L31" s="4" t="str"/>
      <x:c r="M31" s="4" t="str">
        <x:v>[{"id": "K022", "title": "The Singularity and billionfold intelligence expansion", "verdict": "PENDING", "at_deadline": "NOT_DUE", "at_review": "PARTLY_FULFILLED"}]</x:v>
      </x:c>
      <x:c r="N31" s="4" t="str"/>
    </x:row>
    <x:row r="32" ht="160" customHeight="1">
      <x:c r="A32" s="4" t="str">
        <x:v>AUD-024</x:v>
      </x:c>
      <x:c r="B32" s="4" t="str">
        <x:v>A computer will pass an unrestricted Turing Test by 2029.</x:v>
      </x:c>
      <x:c r="C32" s="4" t="str">
        <x:v>2029</x:v>
      </x:c>
      <x:c r="D32" s="4" t="str">
        <x:v>K045;K023</x:v>
      </x:c>
      <x:c r="E32" s="4" t="str">
        <x:v>USE_LINKED_CANONICAL_CLAIM_WITH_EXPLICIT_CORRECTED_SCOPE</x:v>
      </x:c>
      <x:c r="F32" s="4" t="str"/>
      <x:c r="G32" s="4" t="str"/>
      <x:c r="H32" s="4" t="str"/>
      <x:c r="I32" s="4" t="str"/>
      <x:c r="J32" s="4" t="str">
        <x:v>Outcome judgments are completed on the linked source-matched criteria. Preserve the original wording/date and this reconciliation; do not represent a corrected scope as a verbatim import.</x:v>
      </x:c>
      <x:c r="K32" s="4" t="str"/>
      <x:c r="L32" s="4" t="str"/>
      <x:c r="M32" s="4" t="str">
        <x:v>[{"id": "K045", "title": "Human-level AI by the end of the 2020s", "verdict": "PENDING", "at_deadline": "NOT_DUE", "at_review": "PARTLY_FULFILLED"}, {"id": "K023", "title": "The specific Kurzweil–Kapor Turing-test wager", "verdict": "PENDING", "at_deadline": "NOT_DUE", "at_review": "NOT_FULFILLED"}]</x:v>
      </x:c>
      <x:c r="N32" s="4" t="str"/>
    </x:row>
    <x:row r="33" ht="160" customHeight="1">
      <x:c r="A33" s="4" t="str">
        <x:v>DEC-027</x:v>
      </x:c>
      <x:c r="B33" s="4" t="str">
        <x:v>Computer passes Turing Test by 2029</x:v>
      </x:c>
      <x:c r="C33" s="4" t="str">
        <x:v>2029</x:v>
      </x:c>
      <x:c r="D33" s="4" t="str">
        <x:v>K045;K023</x:v>
      </x:c>
      <x:c r="E33" s="4" t="str">
        <x:v>USE_LINKED_CANONICAL_CLAIM_WITH_EXPLICIT_CORRECTED_SCOPE</x:v>
      </x:c>
      <x:c r="F33" s="4" t="str"/>
      <x:c r="G33" s="4" t="str"/>
      <x:c r="H33" s="4" t="str"/>
      <x:c r="I33" s="4" t="str"/>
      <x:c r="J33" s="4" t="str">
        <x:v>Outcome judgments are completed on the linked source-matched criteria. Preserve the original wording/date and this reconciliation; do not represent a corrected scope as a verbatim import.</x:v>
      </x:c>
      <x:c r="K33" s="4" t="str"/>
      <x:c r="L33" s="4" t="str"/>
      <x:c r="M33" s="4" t="str">
        <x:v>[{"id": "K045", "title": "Human-level AI by the end of the 2020s", "verdict": "PENDING", "at_deadline": "NOT_DUE", "at_review": "PARTLY_FULFILLED"}, {"id": "K023", "title": "The specific Kurzweil–Kapor Turing-test wager", "verdict": "PENDING", "at_deadline": "NOT_DUE", "at_review": "NOT_FULFILLED"}]</x:v>
      </x:c>
      <x:c r="N33" s="4" t="str"/>
    </x:row>
    <x:row r="34" ht="160" customHeight="1">
      <x:c r="A34" s="4" t="str">
        <x:v>EXE-020</x:v>
      </x:c>
      <x:c r="B34" s="4" t="str">
        <x:v>“Computers will pass the Turing test by 2029”【22†L384-L387】【79†L692-L700】</x:v>
      </x:c>
      <x:c r="C34" s="4" t="str">
        <x:v>2029</x:v>
      </x:c>
      <x:c r="D34" s="4" t="str">
        <x:v>K045;K023</x:v>
      </x:c>
      <x:c r="E34" s="4" t="str">
        <x:v>USE_LINKED_CANONICAL_CLAIM_WITH_EXPLICIT_CORRECTED_SCOPE</x:v>
      </x:c>
      <x:c r="F34" s="4" t="str"/>
      <x:c r="G34" s="4" t="str"/>
      <x:c r="H34" s="4" t="str"/>
      <x:c r="I34" s="4" t="str"/>
      <x:c r="J34" s="4" t="str">
        <x:v>Outcome judgments are completed on the linked source-matched criteria. Preserve the original wording/date and this reconciliation; do not represent a corrected scope as a verbatim import.</x:v>
      </x:c>
      <x:c r="K34" s="4" t="str"/>
      <x:c r="L34" s="4" t="str"/>
      <x:c r="M34" s="4" t="str">
        <x:v>[{"id": "K045", "title": "Human-level AI by the end of the 2020s", "verdict": "PENDING", "at_deadline": "NOT_DUE", "at_review": "PARTLY_FULFILLED"}, {"id": "K023", "title": "The specific Kurzweil–Kapor Turing-test wager", "verdict": "PENDING", "at_deadline": "NOT_DUE", "at_review": "NOT_FULFILLED"}]</x:v>
      </x:c>
      <x:c r="N34" s="4" t="str"/>
    </x:row>
    <x:row r="35" ht="160" customHeight="1">
      <x:c r="A35" s="4" t="str">
        <x:v>AUD-025</x:v>
      </x:c>
      <x:c r="B35" s="4" t="str">
        <x:v>Nanobots will monitor/repair our bodies (e.g. fight disease) by 2019.</x:v>
      </x:c>
      <x:c r="C35" s="4" t="str">
        <x:v>2019</x:v>
      </x:c>
      <x:c r="D35" s="4" t="str">
        <x:v>K024</x:v>
      </x:c>
      <x:c r="E35" s="4" t="str">
        <x:v>CONDITIONAL_ON_IMPORTED_WORDING_NOT_VERIFIED_ATTRIBUTION</x:v>
      </x:c>
      <x:c r="F35" s="4" t="str">
        <x:v>WRONG</x:v>
      </x:c>
      <x:c r="G35" s="4" t="str">
        <x:v>NOT_FULFILLED</x:v>
      </x:c>
      <x:c r="H35" s="4" t="str">
        <x:v>NOT_FULFILLED</x:v>
      </x:c>
      <x:c r="I35" s="4" t="str">
        <x:v>2019</x:v>
      </x:c>
      <x:c r="J35" s="4" t="str">
        <x:v>Under this imported deadline the clinical robot scenario missed and remains unrealized. The checked 2029 forecast is separately pending; finding that version does not automatically disprove an earlier version.</x:v>
      </x:c>
      <x:c r="K35" s="4" t="str"/>
      <x:c r="L35" s="4" t="str">
        <x:v>PARTIAL for research-scale microrobots; nanoparticles alone do not fulfill autonomous in-body repair.</x:v>
      </x:c>
      <x:c r="M35" s="4" t="str">
        <x:v>[]</x:v>
      </x:c>
      <x:c r="N35" s="4" t="str">
        <x:v>https://onlinelibrary.wiley.com/doi/10.1002/smb2.70030</x:v>
      </x:c>
    </x:row>
    <x:row r="36" ht="160" customHeight="1">
      <x:c r="A36" s="4" t="str">
        <x:v>EXE-015</x:v>
      </x:c>
      <x:c r="B36" s="4" t="str">
        <x:v>“Within 20 years (by 2019) millions of nanobots (blood-cell sized) will fight disease inside our bodies”【79†L688-L695】</x:v>
      </x:c>
      <x:c r="C36" s="4" t="str">
        <x:v>2019</x:v>
      </x:c>
      <x:c r="D36" s="4" t="str">
        <x:v>K024</x:v>
      </x:c>
      <x:c r="E36" s="4" t="str">
        <x:v>CONDITIONAL_ON_IMPORTED_WORDING_NOT_VERIFIED_ATTRIBUTION</x:v>
      </x:c>
      <x:c r="F36" s="4" t="str">
        <x:v>WRONG</x:v>
      </x:c>
      <x:c r="G36" s="4" t="str">
        <x:v>NOT_FULFILLED</x:v>
      </x:c>
      <x:c r="H36" s="4" t="str">
        <x:v>NOT_FULFILLED</x:v>
      </x:c>
      <x:c r="I36" s="4" t="str">
        <x:v>2019</x:v>
      </x:c>
      <x:c r="J36" s="4" t="str">
        <x:v>Under this imported deadline the clinical robot scenario missed and remains unrealized. The checked 2029 forecast is separately pending; finding that version does not automatically disprove an earlier version.</x:v>
      </x:c>
      <x:c r="K36" s="4" t="str"/>
      <x:c r="L36" s="4" t="str">
        <x:v>PARTIAL for research-scale microrobots; nanoparticles alone do not fulfill autonomous in-body repair.</x:v>
      </x:c>
      <x:c r="M36" s="4" t="str">
        <x:v>[]</x:v>
      </x:c>
      <x:c r="N36" s="4" t="str">
        <x:v>https://onlinelibrary.wiley.com/doi/10.1002/smb2.70030</x:v>
      </x:c>
    </x:row>
    <x:row r="37" ht="160" customHeight="1">
      <x:c r="A37" s="4" t="str">
        <x:v>AUD-026</x:v>
      </x:c>
      <x:c r="B37" s="4" t="str">
        <x:v>A consumer PC ($1000) will have human-brain-level computing by 2020.</x:v>
      </x:c>
      <x:c r="C37" s="4" t="str">
        <x:v>2020</x:v>
      </x:c>
      <x:c r="D37" s="4" t="str">
        <x:v>K025</x:v>
      </x:c>
      <x:c r="E37" s="4" t="str">
        <x:v>USE_LINKED_CANONICAL_CLAIM_WITH_EXPLICIT_CORRECTED_SCOPE</x:v>
      </x:c>
      <x:c r="F37" s="4" t="str"/>
      <x:c r="G37" s="4" t="str"/>
      <x:c r="H37" s="4" t="str"/>
      <x:c r="I37" s="4" t="str"/>
      <x:c r="J37" s="4" t="str">
        <x:v>Outcome judgments are completed on the linked source-matched criteria. Preserve the original wording/date and this reconciliation; do not represent a corrected scope as a verbatim import.</x:v>
      </x:c>
      <x:c r="K37" s="4" t="str"/>
      <x:c r="L37" s="4" t="str"/>
      <x:c r="M37" s="4" t="str">
        <x:v>[{"id": "K025", "title": "A thousand-dollar brain-capacity computer in 2020", "verdict": "WRONG", "at_deadline": "NOT_FULFILLED", "at_review": "NOT_FULFILLED"}]</x:v>
      </x:c>
      <x:c r="N37" s="4" t="str"/>
    </x:row>
    <x:row r="38" ht="160" customHeight="1">
      <x:c r="A38" s="4" t="str">
        <x:v>EXE-018</x:v>
      </x:c>
      <x:c r="B38" s="4" t="str">
        <x:v>“By around 2020 the same capacity will be available for \$1,000”【22†L381-L389】</x:v>
      </x:c>
      <x:c r="C38" s="4" t="str">
        <x:v>~2020</x:v>
      </x:c>
      <x:c r="D38" s="4" t="str">
        <x:v>K025</x:v>
      </x:c>
      <x:c r="E38" s="4" t="str">
        <x:v>USE_LINKED_CANONICAL_CLAIM_WITH_EXPLICIT_CORRECTED_SCOPE</x:v>
      </x:c>
      <x:c r="F38" s="4" t="str"/>
      <x:c r="G38" s="4" t="str"/>
      <x:c r="H38" s="4" t="str"/>
      <x:c r="I38" s="4" t="str"/>
      <x:c r="J38" s="4" t="str">
        <x:v>Outcome judgments are completed on the linked source-matched criteria. Preserve the original wording/date and this reconciliation; do not represent a corrected scope as a verbatim import.</x:v>
      </x:c>
      <x:c r="K38" s="4" t="str"/>
      <x:c r="L38" s="4" t="str"/>
      <x:c r="M38" s="4" t="str">
        <x:v>[{"id": "K025", "title": "A thousand-dollar brain-capacity computer in 2020", "verdict": "WRONG", "at_deadline": "NOT_FULFILLED", "at_review": "NOT_FULFILLED"}]</x:v>
      </x:c>
      <x:c r="N38" s="4" t="str"/>
    </x:row>
    <x:row r="39" ht="160" customHeight="1">
      <x:c r="A39" s="4" t="str">
        <x:v>AUD-027</x:v>
      </x:c>
      <x:c r="B39" s="4" t="str">
        <x:v>By the 2010s, language translators and personal assistants will be common.</x:v>
      </x:c>
      <x:c r="C39" s="4" t="str">
        <x:v>2015</x:v>
      </x:c>
      <x:c r="D39" s="4" t="str">
        <x:v>K012;K048</x:v>
      </x:c>
      <x:c r="E39" s="4" t="str">
        <x:v>USE_LINKED_CANONICAL_CLAIM_WITH_EXPLICIT_CORRECTED_SCOPE</x:v>
      </x:c>
      <x:c r="F39" s="4" t="str"/>
      <x:c r="G39" s="4" t="str"/>
      <x:c r="H39" s="4" t="str"/>
      <x:c r="I39" s="4" t="str"/>
      <x:c r="J39" s="4" t="str">
        <x:v>Outcome judgments are completed on the linked source-matched criteria. Preserve the original wording/date and this reconciliation; do not represent a corrected scope as a verbatim import.</x:v>
      </x:c>
      <x:c r="K39" s="4" t="str"/>
      <x:c r="L39" s="4" t="str"/>
      <x:c r="M39" s="4" t="str">
        <x:v>[{"id": "K012", "title": "Ubiquitous language interfaces and animated assistants", "verdict": "PARTIAL", "at_deadline": "PARTLY_FULFILLED", "at_review": "PARTLY_FULFILLED"}, {"id": "K048", "title": "Common many-language speech-to-speech translation", "verdict": "LATE", "at_deadline": "PARTLY_FULFILLED", "at_review": "FULFILLED"}]</x:v>
      </x:c>
      <x:c r="N39" s="4" t="str"/>
    </x:row>
    <x:row r="40" ht="160" customHeight="1">
      <x:c r="A40" s="4" t="str">
        <x:v>AUD-028</x:v>
      </x:c>
      <x:c r="B40" s="4" t="str">
        <x:v>Autonomous vehicles will be common by 2015.</x:v>
      </x:c>
      <x:c r="C40" s="4" t="str">
        <x:v>2015</x:v>
      </x:c>
      <x:c r="D40" s="4" t="str">
        <x:v>K026;K047</x:v>
      </x:c>
      <x:c r="E40" s="4" t="str">
        <x:v>CONDITIONAL_ON_IMPORTED_WORDING_NOT_VERIFIED_ATTRIBUTION</x:v>
      </x:c>
      <x:c r="F40" s="4" t="str">
        <x:v>PARTIAL</x:v>
      </x:c>
      <x:c r="G40" s="4" t="str">
        <x:v>PARTLY_FULFILLED</x:v>
      </x:c>
      <x:c r="H40" s="4" t="str">
        <x:v>PARTLY_FULFILLED</x:v>
      </x:c>
      <x:c r="I40" s="4" t="str">
        <x:v>2015</x:v>
      </x:c>
      <x:c r="J40" s="4" t="str">
        <x:v>Prototype and constrained capability existed, but common ordinary-road autonomy was not established by 2015. Public geofenced driverless service later supplies meaningful partial realization. Availability in selected cities is a broader late success.</x:v>
      </x:c>
      <x:c r="K40" s="4" t="str"/>
      <x:c r="L40" s="4" t="str">
        <x:v>LATE, documented by 2020, for public commercially available fully driverless rides in a defined service area.</x:v>
      </x:c>
      <x:c r="M40" s="4" t="str">
        <x:v>[]</x:v>
      </x:c>
      <x:c r="N40" s="4" t="str">
        <x:v>https://news.cornell.edu/stories/2007/11/cornell-meets-darpa-urban-challenge | https://waymo.com/blog/2020/10/waymo-is-opening-its-fully-driverless-service-in-phoenix/ | https://www.nhtsa.gov/vehicle-safety/automated-vehicle-safety</x:v>
      </x:c>
    </x:row>
    <x:row r="41" ht="160" customHeight="1">
      <x:c r="A41" s="4" t="str">
        <x:v>DEC-022</x:v>
      </x:c>
      <x:c r="B41" s="4" t="str">
        <x:v>AI-driven cars by 2010s</x:v>
      </x:c>
      <x:c r="C41" s="4" t="str">
        <x:v>2015</x:v>
      </x:c>
      <x:c r="D41" s="4" t="str">
        <x:v>K026;K047</x:v>
      </x:c>
      <x:c r="E41" s="4" t="str">
        <x:v>CONDITIONAL_ON_IMPORTED_WORDING_NOT_VERIFIED_ATTRIBUTION</x:v>
      </x:c>
      <x:c r="F41" s="4" t="str">
        <x:v>PARTIAL</x:v>
      </x:c>
      <x:c r="G41" s="4" t="str">
        <x:v>PARTLY_FULFILLED</x:v>
      </x:c>
      <x:c r="H41" s="4" t="str">
        <x:v>PARTLY_FULFILLED</x:v>
      </x:c>
      <x:c r="I41" s="4" t="str">
        <x:v>2015</x:v>
      </x:c>
      <x:c r="J41" s="4" t="str">
        <x:v>Prototype and constrained capability existed, but common ordinary-road autonomy was not established by 2015. Public geofenced driverless service later supplies meaningful partial realization. Availability in selected cities is a broader late success.</x:v>
      </x:c>
      <x:c r="K41" s="4" t="str"/>
      <x:c r="L41" s="4" t="str">
        <x:v>LATE, documented by 2020, for public commercially available fully driverless rides in a defined service area.</x:v>
      </x:c>
      <x:c r="M41" s="4" t="str">
        <x:v>[]</x:v>
      </x:c>
      <x:c r="N41" s="4" t="str">
        <x:v>https://news.cornell.edu/stories/2007/11/cornell-meets-darpa-urban-challenge | https://waymo.com/blog/2020/10/waymo-is-opening-its-fully-driverless-service-in-phoenix/ | https://www.nhtsa.gov/vehicle-safety/automated-vehicle-safety</x:v>
      </x:c>
    </x:row>
    <x:row r="42" ht="160" customHeight="1">
      <x:c r="A42" s="4" t="str">
        <x:v>AUD-029</x:v>
      </x:c>
      <x:c r="B42" s="4" t="str">
        <x:v>Wearable biosensors (e.g. health monitors) will be common by 2010.</x:v>
      </x:c>
      <x:c r="C42" s="4" t="str">
        <x:v>2010</x:v>
      </x:c>
      <x:c r="D42" s="4" t="str">
        <x:v>K041</x:v>
      </x:c>
      <x:c r="E42" s="4" t="str">
        <x:v>CONDITIONAL_ON_IMPORTED_WORDING_NOT_VERIFIED_ATTRIBUTION</x:v>
      </x:c>
      <x:c r="F42" s="4" t="str">
        <x:v>LATE</x:v>
      </x:c>
      <x:c r="G42" s="4" t="str">
        <x:v>PARTLY_FULFILLED</x:v>
      </x:c>
      <x:c r="H42" s="4" t="str">
        <x:v>FULFILLED</x:v>
      </x:c>
      <x:c r="I42" s="4" t="str">
        <x:v>2010</x:v>
      </x:c>
      <x:c r="J42" s="4" t="str">
        <x:v>Early products existed around 2010; the 2019 US survey’s 21% regular use supports common use later. Common is not majority or universal.</x:v>
      </x:c>
      <x:c r="K42" s="4" t="str"/>
      <x:c r="L42" s="4" t="str"/>
      <x:c r="M42" s="4" t="str">
        <x:v>[]</x:v>
      </x:c>
      <x:c r="N42" s="4" t="str">
        <x:v>https://www.pewresearch.org/short-reads/2020/01/09/about-one-in-five-americans-use-a-smart-watch-or-fitness-tracker/ | https://www.pewresearch.org/internet/2010/10/14/americans-and-their-gadgets/ | https://www.apple.com/newsroom/2018/09/redesigned-apple-watch-series-4-revolutionizes-communication-fitness-and-health/</x:v>
      </x:c>
    </x:row>
    <x:row r="43" ht="160" customHeight="1">
      <x:c r="A43" s="4" t="str">
        <x:v>AUD-030</x:v>
      </x:c>
      <x:c r="B43" s="4" t="str">
        <x:v>Medical advances will let 100-year-olds reach 120 by 2020.</x:v>
      </x:c>
      <x:c r="C43" s="4" t="str">
        <x:v>2020</x:v>
      </x:c>
      <x:c r="D43" s="4" t="str"/>
      <x:c r="E43" s="4" t="str">
        <x:v>CONDITIONAL_ON_IMPORTED_WORDING_NOT_VERIFIED_ATTRIBUTION</x:v>
      </x:c>
      <x:c r="F43" s="4" t="str">
        <x:v>WRONG</x:v>
      </x:c>
      <x:c r="G43" s="4" t="str">
        <x:v>NOT_FULFILLED</x:v>
      </x:c>
      <x:c r="H43" s="4" t="str">
        <x:v>NOT_FULFILLED</x:v>
      </x:c>
      <x:c r="I43" s="4" t="str">
        <x:v>2020</x:v>
      </x:c>
      <x:c r="J43" s="4" t="str">
        <x:v>This is read as ordinary, medically enabled survival, not the existence of an exceptionally old person. Population longevity data do not show this transformation; finding the original sentence could change its population or meaning.</x:v>
      </x:c>
      <x:c r="K43" s="4" t="str"/>
      <x:c r="L43" s="4" t="str">
        <x:v>Exceptional individuals reaching extreme ages would be a much weaker, different claim.</x:v>
      </x:c>
      <x:c r="M43" s="4" t="str">
        <x:v>[]</x:v>
      </x:c>
      <x:c r="N43" s="4" t="str">
        <x:v>https://www.cdc.gov/nchs/products/databriefs/db395.htm | https://www.cdc.gov/nchs/products/databriefs/db548.htm</x:v>
      </x:c>
    </x:row>
    <x:row r="44" ht="160" customHeight="1">
      <x:c r="A44" s="4" t="str">
        <x:v>DEC-004</x:v>
      </x:c>
      <x:c r="B44" s="4" t="str">
        <x:v>Wireless access becomes dominant by early 21st century</x:v>
      </x:c>
      <x:c r="C44" s="4" t="str">
        <x:v>~2010</x:v>
      </x:c>
      <x:c r="D44" s="4" t="str">
        <x:v>K010</x:v>
      </x:c>
      <x:c r="E44" s="4" t="str">
        <x:v>USE_LINKED_CANONICAL_CLAIM_WITH_EXPLICIT_CORRECTED_SCOPE</x:v>
      </x:c>
      <x:c r="F44" s="4" t="str"/>
      <x:c r="G44" s="4" t="str"/>
      <x:c r="H44" s="4" t="str"/>
      <x:c r="I44" s="4" t="str"/>
      <x:c r="J44" s="4" t="str">
        <x:v>Outcome judgments are completed on the linked source-matched criteria. Preserve the original wording/date and this reconciliation; do not represent a corrected scope as a verbatim import.</x:v>
      </x:c>
      <x:c r="K44" s="4" t="str"/>
      <x:c r="L44" s="4" t="str"/>
      <x:c r="M44" s="4" t="str">
        <x:v>[{"id": "K010", "title": "Routine, reliable, high-bandwidth wireless access", "verdict": "CORRECT", "at_deadline": "FULFILLED", "at_review": "FULFILLED"}]</x:v>
      </x:c>
      <x:c r="N44" s="4" t="str"/>
    </x:row>
    <x:row r="45" ht="160" customHeight="1">
      <x:c r="A45" s="4" t="str">
        <x:v>DEC-005</x:v>
      </x:c>
      <x:c r="B45" s="4" t="str">
        <x:v>Digital music distribution replaces CDs by 2000s</x:v>
      </x:c>
      <x:c r="C45" s="4" t="str">
        <x:v>2000s</x:v>
      </x:c>
      <x:c r="D45" s="4" t="str">
        <x:v>K008</x:v>
      </x:c>
      <x:c r="E45" s="4" t="str">
        <x:v>CONDITIONAL_ON_IMPORTED_WORDING_NOT_VERIFIED_ATTRIBUTION</x:v>
      </x:c>
      <x:c r="F45" s="4" t="str">
        <x:v>LATE</x:v>
      </x:c>
      <x:c r="G45" s="4" t="str">
        <x:v>PARTLY_FULFILLED</x:v>
      </x:c>
      <x:c r="H45" s="4" t="str">
        <x:v>FULFILLED</x:v>
      </x:c>
      <x:c r="I45" s="4" t="str">
        <x:v>2009</x:v>
      </x:c>
      <x:c r="J45" s="4" t="str">
        <x:v>iTunes documents substantial download use before the deadline but not majority displacement. RIAA’s first-half 2026 figures show streaming dominates revenue. Mainstream replacement has occurred; CDs need not disappear.</x:v>
      </x:c>
      <x:c r="K45" s="4" t="str"/>
      <x:c r="L45" s="4" t="str">
        <x:v>CORRECT by 2009 for normal commercial digital distribution, without dominance.</x:v>
      </x:c>
      <x:c r="M45" s="4" t="str">
        <x:v>[]</x:v>
      </x:c>
      <x:c r="N45" s="4" t="str">
        <x:v>https://www.apple.com/newsroom/2008/06/19iTunes-Store-Tops-Over-Five-Billion-Songs-Sold/ | https://www.riaa.com/reports/</x:v>
      </x:c>
    </x:row>
    <x:row r="46" ht="160" customHeight="1">
      <x:c r="A46" s="4" t="str">
        <x:v>DEC-006</x:v>
      </x:c>
      <x:c r="B46" s="4" t="str">
        <x:v>Digital cameras displace film by 2000</x:v>
      </x:c>
      <x:c r="C46" s="4" t="str">
        <x:v>2000s</x:v>
      </x:c>
      <x:c r="D46" s="4" t="str"/>
      <x:c r="E46" s="4" t="str">
        <x:v>CONDITIONAL_ON_IMPORTED_WORDING_NOT_VERIFIED_ATTRIBUTION</x:v>
      </x:c>
      <x:c r="F46" s="4" t="str">
        <x:v>LATE</x:v>
      </x:c>
      <x:c r="G46" s="4" t="str">
        <x:v>PARTLY_FULFILLED</x:v>
      </x:c>
      <x:c r="H46" s="4" t="str">
        <x:v>FULFILLED</x:v>
      </x:c>
      <x:c r="I46" s="4" t="str">
        <x:v>2000</x:v>
      </x:c>
      <x:c r="J46" s="4" t="str">
        <x:v>PMA/GfK data show only 11m digital versus 71m analog camera sales in 2000. Digital is mainstream today. The import conflicts between “by 2000” and “2000s”; the former is LATE, the latter is reasonably CORRECT. No exact worldwide crossover is claimed.</x:v>
      </x:c>
      <x:c r="K46" s="4" t="str">
        <x:v>Outcome at 2000: partial; at end-2009 on the decade reading: fulfilled. The headline timing is conditional, not unresolved outcome.</x:v>
      </x:c>
      <x:c r="L46" s="4" t="str"/>
      <x:c r="M46" s="4" t="str">
        <x:v>[]</x:v>
      </x:c>
      <x:c r="N46" s="4" t="str">
        <x:v>https://www.dpreview.com/articles/5474101424/pmaresearch2003sales/ | https://global.canon/en/news/2026/20260224.html</x:v>
      </x:c>
    </x:row>
    <x:row r="47" ht="160" customHeight="1">
      <x:c r="A47" s="4" t="str">
        <x:v>DEC-007</x:v>
      </x:c>
      <x:c r="B47" s="4" t="str">
        <x:v>Personal assistant AIs in daily use by 2010</x:v>
      </x:c>
      <x:c r="C47" s="4" t="str">
        <x:v>2010</x:v>
      </x:c>
      <x:c r="D47" s="4" t="str">
        <x:v>K012</x:v>
      </x:c>
      <x:c r="E47" s="4" t="str">
        <x:v>CONDITIONAL_ON_IMPORTED_WORDING_NOT_VERIFIED_ATTRIBUTION</x:v>
      </x:c>
      <x:c r="F47" s="4" t="str">
        <x:v>LATE</x:v>
      </x:c>
      <x:c r="G47" s="4" t="str">
        <x:v>PARTLY_FULFILLED</x:v>
      </x:c>
      <x:c r="H47" s="4" t="str">
        <x:v>FULFILLED</x:v>
      </x:c>
      <x:c r="I47" s="4" t="str">
        <x:v>2010</x:v>
      </x:c>
      <x:c r="J47" s="4" t="str">
        <x:v>Earlier speech software supplies partial progress; Siri’s 2011 release and subsequent integration substantiate later ordinary personal assistance.</x:v>
      </x:c>
      <x:c r="K47" s="4" t="str"/>
      <x:c r="L47" s="4" t="str"/>
      <x:c r="M47" s="4" t="str">
        <x:v>[]</x:v>
      </x:c>
      <x:c r="N47" s="4" t="str">
        <x:v>https://www.apple.com/newsroom/2011/10/04Apple-Launches-iPhone-4S-iOS-5-iCloud/ | https://www.apple.com/newsroom/2018/09/redesigned-apple-watch-series-4-revolutionizes-communication-fitness-and-health/</x:v>
      </x:c>
    </x:row>
    <x:row r="48" ht="160" customHeight="1">
      <x:c r="A48" s="4" t="str">
        <x:v>EXE-003</x:v>
      </x:c>
      <x:c r="B48" s="4" t="str">
        <x:v>“intelligent assistants” (AI aides) by mid-1990s【45†L295-L300】</x:v>
      </x:c>
      <x:c r="C48" s="4" t="str">
        <x:v>~1995</x:v>
      </x:c>
      <x:c r="D48" s="4" t="str">
        <x:v>K012</x:v>
      </x:c>
      <x:c r="E48" s="4" t="str">
        <x:v>CONDITIONAL_ON_IMPORTED_WORDING_NOT_VERIFIED_ATTRIBUTION</x:v>
      </x:c>
      <x:c r="F48" s="4" t="str">
        <x:v>LATE</x:v>
      </x:c>
      <x:c r="G48" s="4" t="str">
        <x:v>NOT_FULFILLED</x:v>
      </x:c>
      <x:c r="H48" s="4" t="str">
        <x:v>FULFILLED</x:v>
      </x:c>
      <x:c r="I48" s="4" t="str">
        <x:v>1995</x:v>
      </x:c>
      <x:c r="J48" s="4" t="str">
        <x:v>On the conversational personal-assistant reading, the 1995 deadline was missed and Siri’s 2011 release provides a documented later realization. This does not claim no assistant software of any kind existed in 1995.</x:v>
      </x:c>
      <x:c r="K48" s="4" t="str"/>
      <x:c r="L48" s="4" t="str">
        <x:v>Simple software wizards or office assistants would yield a weaker/partial earlier outcome.</x:v>
      </x:c>
      <x:c r="M48" s="4" t="str">
        <x:v>[]</x:v>
      </x:c>
      <x:c r="N48" s="4" t="str">
        <x:v>https://www.apple.com/newsroom/2011/10/04Apple-Launches-iPhone-4S-iOS-5-iCloud/</x:v>
      </x:c>
    </x:row>
    <x:row r="49" ht="160" customHeight="1">
      <x:c r="A49" s="4" t="str">
        <x:v>DEC-008</x:v>
      </x:c>
      <x:c r="B49" s="4" t="str">
        <x:v>Real-time language translation phones by 2000s</x:v>
      </x:c>
      <x:c r="C49" s="4" t="str">
        <x:v>2000s</x:v>
      </x:c>
      <x:c r="D49" s="4" t="str">
        <x:v>K048</x:v>
      </x:c>
      <x:c r="E49" s="4" t="str">
        <x:v>USE_LINKED_CANONICAL_CLAIM_WITH_EXPLICIT_CORRECTED_SCOPE</x:v>
      </x:c>
      <x:c r="F49" s="4" t="str"/>
      <x:c r="G49" s="4" t="str"/>
      <x:c r="H49" s="4" t="str"/>
      <x:c r="I49" s="4" t="str"/>
      <x:c r="J49" s="4" t="str">
        <x:v>Outcome judgments are completed on the linked source-matched criteria. Preserve the original wording/date and this reconciliation; do not represent a corrected scope as a verbatim import.</x:v>
      </x:c>
      <x:c r="K49" s="4" t="str"/>
      <x:c r="L49" s="4" t="str"/>
      <x:c r="M49" s="4" t="str">
        <x:v>[{"id": "K048", "title": "Common many-language speech-to-speech translation", "verdict": "LATE", "at_deadline": "PARTLY_FULFILLED", "at_review": "FULFILLED"}]</x:v>
      </x:c>
      <x:c r="N49" s="4" t="str"/>
    </x:row>
    <x:row r="50" ht="160" customHeight="1">
      <x:c r="A50" s="4" t="str">
        <x:v>EXE-002</x:v>
      </x:c>
      <x:c r="B50" s="4" t="str">
        <x:v>“translating telephone” (real-time speech translation) by 2010【45†L295-L300】</x:v>
      </x:c>
      <x:c r="C50" s="4" t="str">
        <x:v>2010</x:v>
      </x:c>
      <x:c r="D50" s="4" t="str">
        <x:v>K048</x:v>
      </x:c>
      <x:c r="E50" s="4" t="str">
        <x:v>USE_LINKED_CANONICAL_CLAIM_WITH_EXPLICIT_CORRECTED_SCOPE</x:v>
      </x:c>
      <x:c r="F50" s="4" t="str"/>
      <x:c r="G50" s="4" t="str"/>
      <x:c r="H50" s="4" t="str"/>
      <x:c r="I50" s="4" t="str"/>
      <x:c r="J50" s="4" t="str">
        <x:v>Outcome judgments are completed on the linked source-matched criteria. Preserve the original wording/date and this reconciliation; do not represent a corrected scope as a verbatim import.</x:v>
      </x:c>
      <x:c r="K50" s="4" t="str"/>
      <x:c r="L50" s="4" t="str"/>
      <x:c r="M50" s="4" t="str">
        <x:v>[{"id": "K048", "title": "Common many-language speech-to-speech translation", "verdict": "LATE", "at_deadline": "PARTLY_FULFILLED", "at_review": "FULFILLED"}]</x:v>
      </x:c>
      <x:c r="N50" s="4" t="str"/>
    </x:row>
    <x:row r="51" ht="160" customHeight="1">
      <x:c r="A51" s="4" t="str">
        <x:v>DEC-009</x:v>
      </x:c>
      <x:c r="B51" s="4" t="str">
        <x:v>Autonomous cars by 2000s</x:v>
      </x:c>
      <x:c r="C51" s="4" t="str">
        <x:v>2009</x:v>
      </x:c>
      <x:c r="D51" s="4" t="str">
        <x:v>K026</x:v>
      </x:c>
      <x:c r="E51" s="4" t="str">
        <x:v>CONDITIONAL_ON_IMPORTED_WORDING_NOT_VERIFIED_ATTRIBUTION</x:v>
      </x:c>
      <x:c r="F51" s="4" t="str">
        <x:v>PARTIAL</x:v>
      </x:c>
      <x:c r="G51" s="4" t="str">
        <x:v>NOT_FULFILLED</x:v>
      </x:c>
      <x:c r="H51" s="4" t="str">
        <x:v>PARTLY_FULFILLED</x:v>
      </x:c>
      <x:c r="I51" s="4" t="str">
        <x:v>2009</x:v>
      </x:c>
      <x:c r="J51" s="4" t="str">
        <x:v>DARPA challenge demonstrations are not common road use. Geofenced public robotaxi service later gives meaningful partial realization; it does not satisfy common autonomy on ordinary roads generally.</x:v>
      </x:c>
      <x:c r="K51" s="4" t="str"/>
      <x:c r="L51" s="4" t="str">
        <x:v>LATE for publicly available driverless rides in a defined service area, documented in 2020.</x:v>
      </x:c>
      <x:c r="M51" s="4" t="str">
        <x:v>[]</x:v>
      </x:c>
      <x:c r="N51" s="4" t="str">
        <x:v>https://news.cornell.edu/stories/2007/11/cornell-meets-darpa-urban-challenge | https://waymo.com/blog/2020/10/waymo-is-opening-its-fully-driverless-service-in-phoenix/ | https://www.nhtsa.gov/vehicle-safety/automated-vehicle-safety</x:v>
      </x:c>
    </x:row>
    <x:row r="52" ht="160" customHeight="1">
      <x:c r="A52" s="4" t="str">
        <x:v>DEC-010</x:v>
      </x:c>
      <x:c r="B52" s="4" t="str">
        <x:v>Speech recognition widespread by 2000s</x:v>
      </x:c>
      <x:c r="C52" s="4" t="str">
        <x:v>2000s</x:v>
      </x:c>
      <x:c r="D52" s="4" t="str">
        <x:v>K011</x:v>
      </x:c>
      <x:c r="E52" s="4" t="str">
        <x:v>CONDITIONAL_ON_IMPORTED_WORDING_NOT_VERIFIED_ATTRIBUTION</x:v>
      </x:c>
      <x:c r="F52" s="4" t="str">
        <x:v>LATE</x:v>
      </x:c>
      <x:c r="G52" s="4" t="str">
        <x:v>PARTLY_FULFILLED</x:v>
      </x:c>
      <x:c r="H52" s="4" t="str">
        <x:v>FULFILLED</x:v>
      </x:c>
      <x:c r="I52" s="4" t="str">
        <x:v>2009</x:v>
      </x:c>
      <x:c r="J52" s="4" t="str">
        <x:v>Commercial speech-recognition software existed, while modern everyday voice interfaces are more broadly established later. This is not the much stronger majority-of-text dictation forecast.</x:v>
      </x:c>
      <x:c r="K52" s="4" t="str"/>
      <x:c r="L52" s="4" t="str">
        <x:v>CORRECT by 2009 on an available mass-market software reading rather than population use.</x:v>
      </x:c>
      <x:c r="M52" s="4" t="str">
        <x:v>[]</x:v>
      </x:c>
      <x:c r="N52" s="4" t="str">
        <x:v>https://www.thekurzweillibrary.com/images/How-My-Predictions-Are-Faring.pdf | https://www.apple.com/newsroom/2011/10/04Apple-Launches-iPhone-4S-iOS-5-iCloud/ | https://www.apple.com/newsroom/2018/09/redesigned-apple-watch-series-4-revolutionizes-communication-fitness-and-health/</x:v>
      </x:c>
    </x:row>
    <x:row r="53" ht="160" customHeight="1">
      <x:c r="A53" s="4" t="str">
        <x:v>DEC-012</x:v>
      </x:c>
      <x:c r="B53" s="4" t="str">
        <x:v>Majority of books read digitally by 2009</x:v>
      </x:c>
      <x:c r="C53" s="4" t="str">
        <x:v>2009</x:v>
      </x:c>
      <x:c r="D53" s="4" t="str">
        <x:v>K013</x:v>
      </x:c>
      <x:c r="E53" s="4" t="str">
        <x:v>CONDITIONAL_ON_IMPORTED_WORDING_NOT_VERIFIED_ATTRIBUTION</x:v>
      </x:c>
      <x:c r="F53" s="4" t="str">
        <x:v>WRONG</x:v>
      </x:c>
      <x:c r="G53" s="4" t="str">
        <x:v>NOT_FULFILLED</x:v>
      </x:c>
      <x:c r="H53" s="4" t="str">
        <x:v>NOT_FULFILLED</x:v>
      </x:c>
      <x:c r="I53" s="4" t="str">
        <x:v>2009</x:v>
      </x:c>
      <x:c r="J53" s="4" t="str">
        <x:v>The majority threshold was not reached in 2009. Pew’s 2025 survey still shows far more print readers than e-book readers. That is a readership proxy, not a complete count of books/pages read; on the ordinary adoption reading the forecast remains a miss.</x:v>
      </x:c>
      <x:c r="K53" s="4" t="str"/>
      <x:c r="L53" s="4" t="str">
        <x:v>CORRECT for routine digital reading as an available format, without majority replacement.</x:v>
      </x:c>
      <x:c r="M53" s="4" t="str">
        <x:v>[]</x:v>
      </x:c>
      <x:c r="N53" s="4" t="str">
        <x:v>https://press.aboutamazon.com/2007/11/introducing-amazon-kindle | https://www.pewresearch.org/short-reads/2026/04/09/americans-still-opt-for-print-books-over-digital-or-audio-versions-few-are-in-book-clubs/</x:v>
      </x:c>
    </x:row>
    <x:row r="54" ht="160" customHeight="1">
      <x:c r="A54" s="4" t="str">
        <x:v>DEC-014</x:v>
      </x:c>
      <x:c r="B54" s="4" t="str">
        <x:v>Self-driving cars common by 2009</x:v>
      </x:c>
      <x:c r="C54" s="4" t="str">
        <x:v>2009</x:v>
      </x:c>
      <x:c r="D54" s="4" t="str">
        <x:v>K026</x:v>
      </x:c>
      <x:c r="E54" s="4" t="str">
        <x:v>CONDITIONAL_ON_IMPORTED_WORDING_NOT_VERIFIED_ATTRIBUTION</x:v>
      </x:c>
      <x:c r="F54" s="4" t="str">
        <x:v>PARTIAL</x:v>
      </x:c>
      <x:c r="G54" s="4" t="str">
        <x:v>NOT_FULFILLED</x:v>
      </x:c>
      <x:c r="H54" s="4" t="str">
        <x:v>PARTLY_FULFILLED</x:v>
      </x:c>
      <x:c r="I54" s="4" t="str">
        <x:v>2009</x:v>
      </x:c>
      <x:c r="J54" s="4" t="str">
        <x:v>DARPA challenge demonstrations are not common road use. Geofenced public robotaxi service later gives meaningful partial realization; it does not satisfy common autonomy on ordinary roads generally.</x:v>
      </x:c>
      <x:c r="K54" s="4" t="str"/>
      <x:c r="L54" s="4" t="str">
        <x:v>LATE for publicly available driverless rides in a defined service area, documented in 2020.</x:v>
      </x:c>
      <x:c r="M54" s="4" t="str">
        <x:v>[]</x:v>
      </x:c>
      <x:c r="N54" s="4" t="str">
        <x:v>https://news.cornell.edu/stories/2007/11/cornell-meets-darpa-urban-challenge | https://waymo.com/blog/2020/10/waymo-is-opening-its-fully-driverless-service-in-phoenix/ | https://www.nhtsa.gov/vehicle-safety/automated-vehicle-safety</x:v>
      </x:c>
    </x:row>
    <x:row r="55" ht="160" customHeight="1">
      <x:c r="A55" s="4" t="str">
        <x:v>DEC-015</x:v>
      </x:c>
      <x:c r="B55" s="4" t="str">
        <x:v>AR glasses with displays by 2009</x:v>
      </x:c>
      <x:c r="C55" s="4" t="str">
        <x:v>2009</x:v>
      </x:c>
      <x:c r="D55" s="4" t="str">
        <x:v>K014</x:v>
      </x:c>
      <x:c r="E55" s="4" t="str">
        <x:v>USE_LINKED_CANONICAL_CLAIM_WITH_EXPLICIT_CORRECTED_SCOPE</x:v>
      </x:c>
      <x:c r="F55" s="4" t="str"/>
      <x:c r="G55" s="4" t="str"/>
      <x:c r="H55" s="4" t="str"/>
      <x:c r="I55" s="4" t="str"/>
      <x:c r="J55" s="4" t="str">
        <x:v>Outcome judgments are completed on the linked source-matched criteria. Preserve the original wording/date and this reconciliation; do not represent a corrected scope as a verbatim import.</x:v>
      </x:c>
      <x:c r="K55" s="4" t="str"/>
      <x:c r="L55" s="4" t="str"/>
      <x:c r="M55" s="4" t="str">
        <x:v>[{"id": "K014", "title": "See-through glasses with direct retinal projection", "verdict": "CORRECT", "at_deadline": "FULFILLED", "at_review": "FULFILLED"}]</x:v>
      </x:c>
      <x:c r="N55" s="4" t="str"/>
    </x:row>
    <x:row r="56" ht="160" customHeight="1">
      <x:c r="A56" s="4" t="str">
        <x:v>DEC-016</x:v>
      </x:c>
      <x:c r="B56" s="4" t="str">
        <x:v>Displays in clothing by 2019</x:v>
      </x:c>
      <x:c r="C56" s="4" t="str">
        <x:v>2019</x:v>
      </x:c>
      <x:c r="D56" s="4" t="str">
        <x:v>K050</x:v>
      </x:c>
      <x:c r="E56" s="4" t="str">
        <x:v>CONDITIONAL_ON_IMPORTED_WORDING_NOT_VERIFIED_ATTRIBUTION</x:v>
      </x:c>
      <x:c r="F56" s="4" t="str">
        <x:v>PARTIAL</x:v>
      </x:c>
      <x:c r="G56" s="4" t="str">
        <x:v>PARTLY_FULFILLED</x:v>
      </x:c>
      <x:c r="H56" s="4" t="str">
        <x:v>PARTLY_FULFILLED</x:v>
      </x:c>
      <x:c r="I56" s="4" t="str">
        <x:v>2019</x:v>
      </x:c>
      <x:c r="J56" s="4" t="str">
        <x:v>Experimental and specialized wearable displays are not the same as commonplace clothing screens. Phones and watches show wearable computation, not general display-bearing garments.</x:v>
      </x:c>
      <x:c r="K56" s="4" t="str"/>
      <x:c r="L56" s="4" t="str"/>
      <x:c r="M56" s="4" t="str">
        <x:v>[]</x:v>
      </x:c>
      <x:c r="N56" s="4" t="str">
        <x:v>https://www.pewresearch.org/short-reads/2020/01/09/about-one-in-five-americans-use-a-smart-watch-or-fitness-tracker/ | https://www.apple.com/newsroom/2018/09/redesigned-apple-watch-series-4-revolutionizes-communication-fitness-and-health/ | https://www.theautochannel.com/news/2004/08/10/208323.html</x:v>
      </x:c>
    </x:row>
    <x:row r="57" ht="160" customHeight="1">
      <x:c r="A57" s="4" t="str">
        <x:v>DEC-017</x:v>
      </x:c>
      <x:c r="B57" s="4" t="str">
        <x:v>VR indistinguishable from real by 2019</x:v>
      </x:c>
      <x:c r="C57" s="4" t="str">
        <x:v>2019</x:v>
      </x:c>
      <x:c r="D57" s="4" t="str">
        <x:v>K031</x:v>
      </x:c>
      <x:c r="E57" s="4" t="str">
        <x:v>USE_LINKED_CANONICAL_CLAIM_WITH_EXPLICIT_CORRECTED_SCOPE</x:v>
      </x:c>
      <x:c r="F57" s="4" t="str"/>
      <x:c r="G57" s="4" t="str"/>
      <x:c r="H57" s="4" t="str"/>
      <x:c r="I57" s="4" t="str"/>
      <x:c r="J57" s="4" t="str">
        <x:v>Outcome judgments are completed on the linked source-matched criteria. Preserve the original wording/date and this reconciliation; do not represent a corrected scope as a verbatim import.</x:v>
      </x:c>
      <x:c r="K57" s="4" t="str"/>
      <x:c r="L57" s="4" t="str"/>
      <x:c r="M57" s="4" t="str">
        <x:v>[{"id": "K031", "title": "Convincing full-body tactile virtual reality", "verdict": "WRONG", "at_deadline": "NOT_FULFILLED", "at_review": "NOT_FULFILLED"}]</x:v>
      </x:c>
      <x:c r="N57" s="4" t="str"/>
    </x:row>
    <x:row r="58" ht="160" customHeight="1">
      <x:c r="A58" s="4" t="str">
        <x:v>DEC-018</x:v>
      </x:c>
      <x:c r="B58" s="4" t="str">
        <x:v>Cochlear implants effectively cure deafness</x:v>
      </x:c>
      <x:c r="C58" s="4" t="str">
        <x:v>2009</x:v>
      </x:c>
      <x:c r="D58" s="4" t="str">
        <x:v>K049</x:v>
      </x:c>
      <x:c r="E58" s="4" t="str">
        <x:v>CONDITIONAL_ON_IMPORTED_WORDING_NOT_VERIFIED_ATTRIBUTION</x:v>
      </x:c>
      <x:c r="F58" s="4" t="str">
        <x:v>PARTIAL</x:v>
      </x:c>
      <x:c r="G58" s="4" t="str">
        <x:v>PARTLY_FULFILLED</x:v>
      </x:c>
      <x:c r="H58" s="4" t="str">
        <x:v>PARTLY_FULFILLED</x:v>
      </x:c>
      <x:c r="I58" s="4" t="str">
        <x:v>2009</x:v>
      </x:c>
      <x:c r="J58" s="4" t="str">
        <x:v>Cochlear implants provide important hearing/speech access to suitable recipients, but do not restore normal hearing for all deaf people. Partial does not deny their major practical benefit.</x:v>
      </x:c>
      <x:c r="K58" s="4" t="str"/>
      <x:c r="L58" s="4" t="str">
        <x:v>CORRECT for effective hearing restoration/support in an eligible patient subset, not a universal cure.</x:v>
      </x:c>
      <x:c r="M58" s="4" t="str">
        <x:v>[]</x:v>
      </x:c>
      <x:c r="N58" s="4" t="str">
        <x:v>https://www.fda.gov/medical-devices/cochlear-implants/what-educators-need-know</x:v>
      </x:c>
    </x:row>
    <x:row r="59" ht="160" customHeight="1">
      <x:c r="A59" s="4" t="str">
        <x:v>DEC-019</x:v>
      </x:c>
      <x:c r="B59" s="4" t="str">
        <x:v>Natural language interaction with computers by 2019</x:v>
      </x:c>
      <x:c r="C59" s="4" t="str">
        <x:v>2019</x:v>
      </x:c>
      <x:c r="D59" s="4" t="str">
        <x:v>K029</x:v>
      </x:c>
      <x:c r="E59" s="4" t="str">
        <x:v>USE_LINKED_CANONICAL_CLAIM_WITH_EXPLICIT_CORRECTED_SCOPE</x:v>
      </x:c>
      <x:c r="F59" s="4" t="str"/>
      <x:c r="G59" s="4" t="str"/>
      <x:c r="H59" s="4" t="str"/>
      <x:c r="I59" s="4" t="str"/>
      <x:c r="J59" s="4" t="str">
        <x:v>Outcome judgments are completed on the linked source-matched criteria. Preserve the original wording/date and this reconciliation; do not represent a corrected scope as a verbatim import.</x:v>
      </x:c>
      <x:c r="K59" s="4" t="str"/>
      <x:c r="L59" s="4" t="str"/>
      <x:c r="M59" s="4" t="str">
        <x:v>[{"id": "K029", "title": "Gesture and spoken language become dominant input", "verdict": "PARTIAL", "at_deadline": "PARTLY_FULFILLED", "at_review": "PARTLY_FULFILLED"}]</x:v>
      </x:c>
      <x:c r="N59" s="4" t="str"/>
    </x:row>
    <x:row r="60" ht="160" customHeight="1">
      <x:c r="A60" s="4" t="str">
        <x:v>DEC-020</x:v>
      </x:c>
      <x:c r="B60" s="4" t="str">
        <x:v>3D printers for home use by 2019</x:v>
      </x:c>
      <x:c r="C60" s="4" t="str">
        <x:v>2019</x:v>
      </x:c>
      <x:c r="D60" s="4" t="str"/>
      <x:c r="E60" s="4" t="str">
        <x:v>CONDITIONAL_ON_IMPORTED_WORDING_NOT_VERIFIED_ATTRIBUTION</x:v>
      </x:c>
      <x:c r="F60" s="4" t="str">
        <x:v>CORRECT</x:v>
      </x:c>
      <x:c r="G60" s="4" t="str">
        <x:v>FULFILLED</x:v>
      </x:c>
      <x:c r="H60" s="4" t="str">
        <x:v>FULFILLED</x:v>
      </x:c>
      <x:c r="I60" s="4" t="str">
        <x:v>2019</x:v>
      </x:c>
      <x:c r="J60" s="4" t="str">
        <x:v>The 2012 MakerBot press release documents a personal, ready-to-use desktop printer. Availability for home use is enough; widespread ownership or molecular manufacturing is not required.</x:v>
      </x:c>
      <x:c r="K60" s="4" t="str"/>
      <x:c r="L60" s="4" t="str"/>
      <x:c r="M60" s="4" t="str">
        <x:v>[]</x:v>
      </x:c>
      <x:c r="N60" s="4" t="str">
        <x:v>https://www.wired.com/2012/01/the-makerbot-replicatortm/</x:v>
      </x:c>
    </x:row>
    <x:row r="61" ht="160" customHeight="1">
      <x:c r="A61" s="4" t="str">
        <x:v>DEC-021</x:v>
      </x:c>
      <x:c r="B61" s="4" t="str">
        <x:v>PCs embedded in environment by 2010s</x:v>
      </x:c>
      <x:c r="C61" s="4" t="str">
        <x:v>2010</x:v>
      </x:c>
      <x:c r="D61" s="4" t="str">
        <x:v>K050</x:v>
      </x:c>
      <x:c r="E61" s="4" t="str">
        <x:v>CONDITIONAL_ON_IMPORTED_WORDING_NOT_VERIFIED_ATTRIBUTION</x:v>
      </x:c>
      <x:c r="F61" s="4" t="str">
        <x:v>LATE</x:v>
      </x:c>
      <x:c r="G61" s="4" t="str">
        <x:v>PARTLY_FULFILLED</x:v>
      </x:c>
      <x:c r="H61" s="4" t="str">
        <x:v>FULFILLED</x:v>
      </x:c>
      <x:c r="I61" s="4" t="str">
        <x:v>2010</x:v>
      </x:c>
      <x:c r="J61" s="4" t="str">
        <x:v>Embedded and specialized examples existed before the deadline; the broader everyday object ecosystem is established later. The imported 2010 date must not overwrite the sourced 2019 version.</x:v>
      </x:c>
      <x:c r="K61" s="4" t="str"/>
      <x:c r="L61" s="4" t="str"/>
      <x:c r="M61" s="4" t="str">
        <x:v>[]</x:v>
      </x:c>
      <x:c r="N61" s="4" t="str">
        <x:v>https://www.apple.com/newsroom/2009/03/11Apple-Announces-Incredible-New-iPod-shuffle/ | https://www.apple.com/newsroom/2018/09/redesigned-apple-watch-series-4-revolutionizes-communication-fitness-and-health/ | https://newsroom.cisco.com/c/r/newsroom/en/us/a/y2007/m03/cisco-announces-agreement-to-acquire-webex.html</x:v>
      </x:c>
    </x:row>
    <x:row r="62" ht="160" customHeight="1">
      <x:c r="A62" s="4" t="str">
        <x:v>DEC-023</x:v>
      </x:c>
      <x:c r="B62" s="4" t="str">
        <x:v>Bioengineered organs for transplant by 2010s</x:v>
      </x:c>
      <x:c r="C62" s="4" t="str">
        <x:v>2015</x:v>
      </x:c>
      <x:c r="D62" s="4" t="str"/>
      <x:c r="E62" s="4" t="str">
        <x:v>CONDITIONAL_ON_IMPORTED_WORDING_NOT_VERIFIED_ATTRIBUTION</x:v>
      </x:c>
      <x:c r="F62" s="4" t="str">
        <x:v>PARTIAL</x:v>
      </x:c>
      <x:c r="G62" s="4" t="str">
        <x:v>PARTLY_FULFILLED</x:v>
      </x:c>
      <x:c r="H62" s="4" t="str">
        <x:v>PARTLY_FULFILLED</x:v>
      </x:c>
      <x:c r="I62" s="4" t="str">
        <x:v>2015</x:v>
      </x:c>
      <x:c r="J62" s="4" t="str">
        <x:v>The 2006 study implanted engineered bladder tissues for reconstruction, a real clinical achievement. It does not establish a general supply of complete transplantable solid organs. Partial under the ordinary organ-replacement reading; correct under an at-least-one engineered-tissue implantation reading.</x:v>
      </x:c>
      <x:c r="K62" s="4" t="str"/>
      <x:c r="L62" s="4" t="str">
        <x:v>CORRECT by 2006 for engineered bladder tissue implanted in human reconstruction. Do not call it a complete lab-grown bladder transplantation.</x:v>
      </x:c>
      <x:c r="M62" s="4" t="str">
        <x:v>[]</x:v>
      </x:c>
      <x:c r="N62" s="4" t="str">
        <x:v>https://pubmed.ncbi.nlm.nih.gov/16631879/</x:v>
      </x:c>
    </x:row>
    <x:row r="63" ht="160" customHeight="1">
      <x:c r="A63" s="4" t="str">
        <x:v>DEC-024</x:v>
      </x:c>
      <x:c r="B63" s="4" t="str">
        <x:v>Nanobots in bloodstream by 2020s</x:v>
      </x:c>
      <x:c r="C63" s="4" t="str">
        <x:v>2020</x:v>
      </x:c>
      <x:c r="D63" s="4" t="str">
        <x:v>K024</x:v>
      </x:c>
      <x:c r="E63" s="4" t="str">
        <x:v>CONDITIONAL_ON_IMPORTED_WORDING_NOT_VERIFIED_ATTRIBUTION</x:v>
      </x:c>
      <x:c r="F63" s="4" t="str">
        <x:v>WRONG</x:v>
      </x:c>
      <x:c r="G63" s="4" t="str">
        <x:v>NOT_FULFILLED</x:v>
      </x:c>
      <x:c r="H63" s="4" t="str">
        <x:v>NOT_FULFILLED</x:v>
      </x:c>
      <x:c r="I63" s="4" t="str">
        <x:v>2020</x:v>
      </x:c>
      <x:c r="J63" s="4" t="str">
        <x:v>The clinical review describes translation hurdles rather than a routine autonomous bloodstream-robot capability. This 2020 lead is assessed conditionally and is not merged into the sourced 2029 version.</x:v>
      </x:c>
      <x:c r="K63" s="4" t="str"/>
      <x:c r="L63" s="4" t="str"/>
      <x:c r="M63" s="4" t="str">
        <x:v>[]</x:v>
      </x:c>
      <x:c r="N63" s="4" t="str">
        <x:v>https://onlinelibrary.wiley.com/doi/10.1002/smb2.70030</x:v>
      </x:c>
    </x:row>
    <x:row r="64" ht="160" customHeight="1">
      <x:c r="A64" s="4" t="str">
        <x:v>DEC-025</x:v>
      </x:c>
      <x:c r="B64" s="4" t="str">
        <x:v>Constant wireless Internet access by 2015</x:v>
      </x:c>
      <x:c r="C64" s="4" t="str">
        <x:v>2015</x:v>
      </x:c>
      <x:c r="D64" s="4" t="str">
        <x:v>K010</x:v>
      </x:c>
      <x:c r="E64" s="4" t="str">
        <x:v>CONDITIONAL_ON_IMPORTED_WORDING_NOT_VERIFIED_ATTRIBUTION</x:v>
      </x:c>
      <x:c r="F64" s="4" t="str">
        <x:v>CORRECT</x:v>
      </x:c>
      <x:c r="G64" s="4" t="str">
        <x:v>FULFILLED</x:v>
      </x:c>
      <x:c r="H64" s="4" t="str">
        <x:v>FULFILLED</x:v>
      </x:c>
      <x:c r="I64" s="4" t="str">
        <x:v>2015</x:v>
      </x:c>
      <x:c r="J64" s="4" t="str">
        <x:v>Pew already recorded substantial US wireless use in 2009; the later deadline is fulfilled on an ordinary availability reading. Perfect geographic coverage is not required.</x:v>
      </x:c>
      <x:c r="K64" s="4" t="str"/>
      <x:c r="L64" s="4" t="str">
        <x:v>Literal no-outage, everywhere access remains partial.</x:v>
      </x:c>
      <x:c r="M64" s="4" t="str">
        <x:v>[]</x:v>
      </x:c>
      <x:c r="N64" s="4" t="str">
        <x:v>https://www.pewresearch.org/internet/2009/07/22/wireless-internet-use/ | https://www.itu.int/ITU-D/ict/material/FactsFigures2010.pdf</x:v>
      </x:c>
    </x:row>
    <x:row r="65" ht="160" customHeight="1">
      <x:c r="A65" s="4" t="str">
        <x:v>DEC-026</x:v>
      </x:c>
      <x:c r="B65" s="4" t="str">
        <x:v>Most paper scanned &amp; searchable by 2015</x:v>
      </x:c>
      <x:c r="C65" s="4" t="str">
        <x:v>2015</x:v>
      </x:c>
      <x:c r="D65" s="4" t="str"/>
      <x:c r="E65" s="4" t="str">
        <x:v>CONDITIONAL_ON_IMPORTED_WORDING_NOT_VERIFIED_ATTRIBUTION</x:v>
      </x:c>
      <x:c r="F65" s="4" t="str">
        <x:v>PARTIAL</x:v>
      </x:c>
      <x:c r="G65" s="4" t="str">
        <x:v>PARTLY_FULFILLED</x:v>
      </x:c>
      <x:c r="H65" s="4" t="str">
        <x:v>PARTLY_FULFILLED</x:v>
      </x:c>
      <x:c r="I65" s="4" t="str">
        <x:v>2015</x:v>
      </x:c>
      <x:c r="J65" s="4" t="str">
        <x:v>Large-scale searchable digitization is real. Google describes a 40m-book collection by 2019, but this is not a count of all paper or proof that a majority was digitized. The reasonable current assessment is partial, not a total absence of progress.</x:v>
      </x:c>
      <x:c r="K65" s="4" t="str"/>
      <x:c r="L65" s="4" t="str">
        <x:v>CORRECT for large-scale searchable digital collections; that removes the majority-of-all-paper requirement.</x:v>
      </x:c>
      <x:c r="M65" s="4" t="str">
        <x:v>[]</x:v>
      </x:c>
      <x:c r="N65" s="4" t="str">
        <x:v>https://blog.google/products-and-platforms/products/search/15-years-google-books/ | https://home.cern/science/computing/the-birth-of-the-web/</x:v>
      </x:c>
    </x:row>
    <x:row r="66" ht="160" customHeight="1">
      <x:c r="A66" s="4" t="str">
        <x:v>DEC-028</x:v>
      </x:c>
      <x:c r="B66" s="4" t="str">
        <x:v>Virtual reality indistinguishable by 2020s</x:v>
      </x:c>
      <x:c r="C66" s="4" t="str">
        <x:v>2029</x:v>
      </x:c>
      <x:c r="D66" s="4" t="str">
        <x:v>K017;K031</x:v>
      </x:c>
      <x:c r="E66" s="4" t="str">
        <x:v>CONDITIONAL_ON_IMPORTED_WORDING_NOT_VERIFIED_ATTRIBUTION</x:v>
      </x:c>
      <x:c r="F66" s="4" t="str">
        <x:v>PENDING</x:v>
      </x:c>
      <x:c r="G66" s="4" t="str">
        <x:v>NOT_DUE</x:v>
      </x:c>
      <x:c r="H66" s="4" t="str">
        <x:v>PARTLY_FULFILLED</x:v>
      </x:c>
      <x:c r="I66" s="4" t="str">
        <x:v>2029</x:v>
      </x:c>
      <x:c r="J66" s="4" t="str">
        <x:v>The deadline remains open. Consumer audiovisual immersion is meaningful progress, but it is not complete sensory indistinguishability.</x:v>
      </x:c>
      <x:c r="K66" s="4" t="str"/>
      <x:c r="L66" s="4" t="str"/>
      <x:c r="M66" s="4" t="str">
        <x:v>[]</x:v>
      </x:c>
      <x:c r="N66" s="4" t="str">
        <x:v>https://www.qualcomm.com/news/releases/2019/05/qualcomm-snapdragon-mobile-vr-platform-powers-oculus-quest | https://arxiv.org/abs/2508.20831</x:v>
      </x:c>
    </x:row>
    <x:row r="67" ht="160" customHeight="1">
      <x:c r="A67" s="4" t="str">
        <x:v>DEC-029</x:v>
      </x:c>
      <x:c r="B67" s="4" t="str">
        <x:v>Tether consciousness (mind-upload) by 2030s</x:v>
      </x:c>
      <x:c r="C67" s="4" t="str">
        <x:v>2030s</x:v>
      </x:c>
      <x:c r="D67" s="4" t="str">
        <x:v>K032;K043</x:v>
      </x:c>
      <x:c r="E67" s="4" t="str">
        <x:v>CONDITIONAL_ON_IMPORTED_WORDING_NOT_VERIFIED_ATTRIBUTION</x:v>
      </x:c>
      <x:c r="F67" s="4" t="str">
        <x:v>PENDING</x:v>
      </x:c>
      <x:c r="G67" s="4" t="str">
        <x:v>NOT_DUE</x:v>
      </x:c>
      <x:c r="H67" s="4" t="str">
        <x:v>PARTLY_FULFILLED</x:v>
      </x:c>
      <x:c r="I67" s="4" t="str">
        <x:v>2039</x:v>
      </x:c>
      <x:c r="J67" s="4" t="str">
        <x:v>The decade has not arrived. Neural interfaces and brain mapping are partial enabling developments, not completed uploading or mostly nonbiological humanity. Attribution and the exact early/late-2030s reading remain separate.</x:v>
      </x:c>
      <x:c r="K67" s="4" t="str"/>
      <x:c r="L67" s="4" t="str"/>
      <x:c r="M67" s="4" t="str">
        <x:v>[]</x:v>
      </x:c>
      <x:c r="N67" s="4" t="str">
        <x:v>https://www.nimh.nih.gov/news/science-updates/2023/scientists-unveil-complete-cell-map-of-a-whole-mammalian-brain | https://www.nature.com/articles/s41586-024-07686-5 | https://www.bvp.com/atlas/ai-escape-velocity-a-conversation-with-ray-kurzweil</x:v>
      </x:c>
    </x:row>
    <x:row r="68" ht="160" customHeight="1">
      <x:c r="A68" s="4" t="str">
        <x:v>DEC-030</x:v>
      </x:c>
      <x:c r="B68" s="4" t="str">
        <x:v>Humans mostly non-biological by 2030s</x:v>
      </x:c>
      <x:c r="C68" s="4" t="str">
        <x:v>2030s</x:v>
      </x:c>
      <x:c r="D68" s="4" t="str">
        <x:v>K032;K043</x:v>
      </x:c>
      <x:c r="E68" s="4" t="str">
        <x:v>CONDITIONAL_ON_IMPORTED_WORDING_NOT_VERIFIED_ATTRIBUTION</x:v>
      </x:c>
      <x:c r="F68" s="4" t="str">
        <x:v>PENDING</x:v>
      </x:c>
      <x:c r="G68" s="4" t="str">
        <x:v>NOT_DUE</x:v>
      </x:c>
      <x:c r="H68" s="4" t="str">
        <x:v>PARTLY_FULFILLED</x:v>
      </x:c>
      <x:c r="I68" s="4" t="str">
        <x:v>2039</x:v>
      </x:c>
      <x:c r="J68" s="4" t="str">
        <x:v>The decade has not arrived. Neural interfaces and brain mapping are partial enabling developments, not completed uploading or mostly nonbiological humanity. Attribution and the exact early/late-2030s reading remain separate.</x:v>
      </x:c>
      <x:c r="K68" s="4" t="str"/>
      <x:c r="L68" s="4" t="str"/>
      <x:c r="M68" s="4" t="str">
        <x:v>[]</x:v>
      </x:c>
      <x:c r="N68" s="4" t="str">
        <x:v>https://www.nimh.nih.gov/news/science-updates/2023/scientists-unveil-complete-cell-map-of-a-whole-mammalian-brain | https://www.nature.com/articles/s41586-024-07686-5 | https://www.bvp.com/atlas/ai-escape-velocity-a-conversation-with-ray-kurzweil</x:v>
      </x:c>
    </x:row>
    <x:row r="69" ht="160" customHeight="1">
      <x:c r="A69" s="4" t="str">
        <x:v>EXE-030</x:v>
      </x:c>
      <x:c r="B69" s="4" t="str">
        <x:v>“By ~2030s, universal brain-computer interface and brain-uploading begin”【79†L692-L700】【81†L537-L541】</x:v>
      </x:c>
      <x:c r="C69" s="4" t="str">
        <x:v>2030s</x:v>
      </x:c>
      <x:c r="D69" s="4" t="str">
        <x:v>K032;K043</x:v>
      </x:c>
      <x:c r="E69" s="4" t="str">
        <x:v>CONDITIONAL_ON_IMPORTED_WORDING_NOT_VERIFIED_ATTRIBUTION</x:v>
      </x:c>
      <x:c r="F69" s="4" t="str">
        <x:v>PENDING</x:v>
      </x:c>
      <x:c r="G69" s="4" t="str">
        <x:v>NOT_DUE</x:v>
      </x:c>
      <x:c r="H69" s="4" t="str">
        <x:v>PARTLY_FULFILLED</x:v>
      </x:c>
      <x:c r="I69" s="4" t="str">
        <x:v>2039</x:v>
      </x:c>
      <x:c r="J69" s="4" t="str">
        <x:v>The decade has not arrived. Neural interfaces and brain mapping are partial enabling developments, not completed uploading or mostly nonbiological humanity. Attribution and the exact early/late-2030s reading remain separate.</x:v>
      </x:c>
      <x:c r="K69" s="4" t="str"/>
      <x:c r="L69" s="4" t="str"/>
      <x:c r="M69" s="4" t="str">
        <x:v>[]</x:v>
      </x:c>
      <x:c r="N69" s="4" t="str">
        <x:v>https://www.nimh.nih.gov/news/science-updates/2023/scientists-unveil-complete-cell-map-of-a-whole-mammalian-brain | https://www.nature.com/articles/s41586-024-07686-5 | https://www.bvp.com/atlas/ai-escape-velocity-a-conversation-with-ray-kurzweil</x:v>
      </x:c>
    </x:row>
    <x:row r="70" ht="160" customHeight="1">
      <x:c r="A70" s="4" t="str">
        <x:v>DEC-031</x:v>
      </x:c>
      <x:c r="B70" s="4" t="str">
        <x:v>Universal basic income early 2030s (rich) / end of 2030s (worldwide)</x:v>
      </x:c>
      <x:c r="C70" s="4" t="str">
        <x:v>2030s</x:v>
      </x:c>
      <x:c r="D70" s="4" t="str">
        <x:v>K037;K038</x:v>
      </x:c>
      <x:c r="E70" s="4" t="str">
        <x:v>USE_LINKED_CANONICAL_CLAIM_WITH_EXPLICIT_CORRECTED_SCOPE</x:v>
      </x:c>
      <x:c r="F70" s="4" t="str"/>
      <x:c r="G70" s="4" t="str"/>
      <x:c r="H70" s="4" t="str"/>
      <x:c r="I70" s="4" t="str"/>
      <x:c r="J70" s="4" t="str">
        <x:v>Outcome judgments are completed on the linked source-matched criteria. Preserve the original wording/date and this reconciliation; do not represent a corrected scope as a verbatim import.</x:v>
      </x:c>
      <x:c r="K70" s="4" t="str"/>
      <x:c r="L70" s="4" t="str"/>
      <x:c r="M70" s="4" t="str">
        <x:v>[{"id": "K037", "title": "Developed-world universal basic income", "verdict": "PENDING", "at_deadline": "NOT_DUE", "at_review": "PARTLY_FULFILLED"}, {"id": "K038", "title": "Worldwide universal basic income", "verdict": "PENDING", "at_deadline": "NOT_DUE", "at_review": "PARTLY_FULFILLED"}]</x:v>
      </x:c>
      <x:c r="N70" s="4" t="str"/>
    </x:row>
    <x:row r="71" ht="160" customHeight="1">
      <x:c r="A71" s="4" t="str">
        <x:v>EXE-023</x:v>
      </x:c>
      <x:c r="B71" s="4" t="str">
        <x:v>“Universal basic income in developed world by early 2030s, worldwide by late 2030s”【79†L624-L627】</x:v>
      </x:c>
      <x:c r="C71" s="4" t="str">
        <x:v>early 2030s</x:v>
      </x:c>
      <x:c r="D71" s="4" t="str">
        <x:v>K037;K038</x:v>
      </x:c>
      <x:c r="E71" s="4" t="str">
        <x:v>USE_LINKED_CANONICAL_CLAIM_WITH_EXPLICIT_CORRECTED_SCOPE</x:v>
      </x:c>
      <x:c r="F71" s="4" t="str"/>
      <x:c r="G71" s="4" t="str"/>
      <x:c r="H71" s="4" t="str"/>
      <x:c r="I71" s="4" t="str"/>
      <x:c r="J71" s="4" t="str">
        <x:v>Outcome judgments are completed on the linked source-matched criteria. Preserve the original wording/date and this reconciliation; do not represent a corrected scope as a verbatim import.</x:v>
      </x:c>
      <x:c r="K71" s="4" t="str"/>
      <x:c r="L71" s="4" t="str"/>
      <x:c r="M71" s="4" t="str">
        <x:v>[{"id": "K037", "title": "Developed-world universal basic income", "verdict": "PENDING", "at_deadline": "NOT_DUE", "at_review": "PARTLY_FULFILLED"}, {"id": "K038", "title": "Worldwide universal basic income", "verdict": "PENDING", "at_deadline": "NOT_DUE", "at_review": "PARTLY_FULFILLED"}]</x:v>
      </x:c>
      <x:c r="N71" s="4" t="str"/>
    </x:row>
    <x:row r="72" ht="160" customHeight="1">
      <x:c r="A72" s="4" t="str">
        <x:v>DEC-032</x:v>
      </x:c>
      <x:c r="B72" s="4" t="str">
        <x:v>First 150-year-old by 2050 (implying longevity breakthroughs)</x:v>
      </x:c>
      <x:c r="C72" s="4" t="str">
        <x:v>2050s</x:v>
      </x:c>
      <x:c r="D72" s="4" t="str">
        <x:v>K042</x:v>
      </x:c>
      <x:c r="E72" s="4" t="str">
        <x:v>CONDITIONAL_ON_IMPORTED_WORDING_NOT_VERIFIED_ATTRIBUTION</x:v>
      </x:c>
      <x:c r="F72" s="4" t="str">
        <x:v>PENDING</x:v>
      </x:c>
      <x:c r="G72" s="4" t="str">
        <x:v>NOT_DUE</x:v>
      </x:c>
      <x:c r="H72" s="4" t="str">
        <x:v>NOT_FULFILLED</x:v>
      </x:c>
      <x:c r="I72" s="4" t="str">
        <x:v>2050</x:v>
      </x:c>
      <x:c r="J72" s="4" t="str">
        <x:v>These two outcomes are different and neither should be silently inferred from longevity escape velocity. Both are future-dated and not demonstrated today; the imported attributed wording remains unresolved.</x:v>
      </x:c>
      <x:c r="K72" s="4" t="str">
        <x:v>DEC-032 says first individual; EXE-029 says average lifespan. Keep those thresholds distinct.</x:v>
      </x:c>
      <x:c r="L72" s="4" t="str"/>
      <x:c r="M72" s="4" t="str">
        <x:v>[]</x:v>
      </x:c>
      <x:c r="N72" s="4" t="str">
        <x:v>https://www.cdc.gov/nchs/products/databriefs/db548.htm</x:v>
      </x:c>
    </x:row>
    <x:row r="73" ht="160" customHeight="1">
      <x:c r="A73" s="4" t="str">
        <x:v>EXE-029</x:v>
      </x:c>
      <x:c r="B73" s="4" t="str">
        <x:v>“By 2050 average human lifespan 150 years” (implied from interview claims)【19†L123-L130】</x:v>
      </x:c>
      <x:c r="C73" s="4" t="str">
        <x:v>2050</x:v>
      </x:c>
      <x:c r="D73" s="4" t="str">
        <x:v>K042</x:v>
      </x:c>
      <x:c r="E73" s="4" t="str">
        <x:v>CONDITIONAL_ON_IMPORTED_WORDING_NOT_VERIFIED_ATTRIBUTION</x:v>
      </x:c>
      <x:c r="F73" s="4" t="str">
        <x:v>PENDING</x:v>
      </x:c>
      <x:c r="G73" s="4" t="str">
        <x:v>NOT_DUE</x:v>
      </x:c>
      <x:c r="H73" s="4" t="str">
        <x:v>NOT_FULFILLED</x:v>
      </x:c>
      <x:c r="I73" s="4" t="str">
        <x:v>2050</x:v>
      </x:c>
      <x:c r="J73" s="4" t="str">
        <x:v>These two outcomes are different and neither should be silently inferred from longevity escape velocity. Both are future-dated and not demonstrated today; the imported attributed wording remains unresolved.</x:v>
      </x:c>
      <x:c r="K73" s="4" t="str">
        <x:v>DEC-032 says first individual; EXE-029 says average lifespan. Keep those thresholds distinct.</x:v>
      </x:c>
      <x:c r="L73" s="4" t="str"/>
      <x:c r="M73" s="4" t="str">
        <x:v>[]</x:v>
      </x:c>
      <x:c r="N73" s="4" t="str">
        <x:v>https://www.cdc.gov/nchs/products/databriefs/db548.htm</x:v>
      </x:c>
    </x:row>
    <x:row r="74" ht="160" customHeight="1">
      <x:c r="A74" s="4" t="str">
        <x:v>EXE-004</x:v>
      </x:c>
      <x:c r="B74" s="4" t="str">
        <x:v>“translating telephone by 2010;…completely driverless car by well into first half of 21st century”【45†L295-L300】</x:v>
      </x:c>
      <x:c r="C74" s="4" t="str">
        <x:v>2010; ~2050</x:v>
      </x:c>
      <x:c r="D74" s="4" t="str">
        <x:v>K048;K026</x:v>
      </x:c>
      <x:c r="E74" s="4" t="str">
        <x:v>CONDITIONAL_ON_IMPORTED_WORDING_NOT_VERIFIED_ATTRIBUTION</x:v>
      </x:c>
      <x:c r="F74" s="4" t="str">
        <x:v>PENDING</x:v>
      </x:c>
      <x:c r="G74" s="4" t="str">
        <x:v>NOT_DUE</x:v>
      </x:c>
      <x:c r="H74" s="4" t="str">
        <x:v>PARTLY_FULFILLED</x:v>
      </x:c>
      <x:c r="I74" s="4" t="str">
        <x:v>2050</x:v>
      </x:c>
      <x:c r="J74" s="4" t="str">
        <x:v>This is a compound with different deadlines. Speech translation is a late practical success relative to 2010; defined-area fully driverless rides exist ahead of 2050. Do not compress the two into one date.</x:v>
      </x:c>
      <x:c r="K74" s="4" t="str"/>
      <x:c r="L74" s="4" t="str"/>
      <x:c r="M74" s="4" t="str">
        <x:v>[{"claim": "Practical telephone translation", "deadline": 2010, "at_deadline": "PARTLY_FULFILLED", "at_review": "FULFILLED", "verdict": "LATE"}, {"claim": "A completely driverless car in a service area", "deadline": 2050, "at_deadline": "NOT_DUE", "at_review": "FULFILLED", "verdict": "CORRECT", "qualifier": "EARLY; broader availability reading, not all-road replacement"}]</x:v>
      </x:c>
      <x:c r="N74" s="4" t="str">
        <x:v>https://www.apple.com/ci/newsroom/2025/09/new-apple-intelligence-features-are-available-today/ | https://support.apple.com/is-is/guide/iphone/iph22b72984d/26/ios/26 | https://waymo.com/blog/2020/10/waymo-is-opening-its-fully-driverless-service-in-phoenix/</x:v>
      </x:c>
    </x:row>
    <x:row r="75" ht="160" customHeight="1">
      <x:c r="A75" s="4" t="str">
        <x:v>EXE-005</x:v>
      </x:c>
      <x:c r="B75" s="4" t="str">
        <x:v>“People will use electronic documents [hypertext],… instead of linear like a book”【45†L309-L313】</x:v>
      </x:c>
      <x:c r="C75" s="4" t="str">
        <x:v>2000s</x:v>
      </x:c>
      <x:c r="D75" s="4" t="str">
        <x:v>K039</x:v>
      </x:c>
      <x:c r="E75" s="4" t="str">
        <x:v>USE_LINKED_CANONICAL_CLAIM_WITH_EXPLICIT_CORRECTED_SCOPE</x:v>
      </x:c>
      <x:c r="F75" s="4" t="str"/>
      <x:c r="G75" s="4" t="str"/>
      <x:c r="H75" s="4" t="str"/>
      <x:c r="I75" s="4" t="str"/>
      <x:c r="J75" s="4" t="str">
        <x:v>Outcome judgments are completed on the linked source-matched criteria. Preserve the original wording/date and this reconciliation; do not represent a corrected scope as a verbatim import.</x:v>
      </x:c>
      <x:c r="K75" s="4" t="str"/>
      <x:c r="L75" s="4" t="str"/>
      <x:c r="M75" s="4" t="str">
        <x:v>[{"id": "K039", "title": "Nonlinear electronic documents", "verdict": "CORRECT", "at_deadline": "UNDATED", "at_review": "FULFILLED"}]</x:v>
      </x:c>
      <x:c r="N75" s="4" t="str"/>
    </x:row>
    <x:row r="76" ht="160" customHeight="1">
      <x:c r="A76" s="4" t="str">
        <x:v>EXE-006</x:v>
      </x:c>
      <x:c r="B76" s="4" t="str">
        <x:v>“laser and particle beam weapons, and planes without human pilots” in future warfare【45†L319-L323】</x:v>
      </x:c>
      <x:c r="C76" s="4" t="str">
        <x:v>2000–2010</x:v>
      </x:c>
      <x:c r="D76" s="4" t="str">
        <x:v>K019;K020</x:v>
      </x:c>
      <x:c r="E76" s="4" t="str">
        <x:v>CONDITIONAL_ON_IMPORTED_WORDING_NOT_VERIFIED_ATTRIBUTION</x:v>
      </x:c>
      <x:c r="F76" s="4" t="str">
        <x:v>PARTIAL</x:v>
      </x:c>
      <x:c r="G76" s="4" t="str">
        <x:v>PARTLY_FULFILLED</x:v>
      </x:c>
      <x:c r="H76" s="4" t="str">
        <x:v>PARTLY_FULFILLED</x:v>
      </x:c>
      <x:c r="I76" s="4" t="str">
        <x:v>2010</x:v>
      </x:c>
      <x:c r="J76" s="4" t="str">
        <x:v>Pilotless aircraft fulfill one component. Navy documents a deployed shipboard laser demonstration in 2014. Particle-beam deployment is not established. Keep the compound partial rather than counting all components as one success.</x:v>
      </x:c>
      <x:c r="K76" s="4" t="str"/>
      <x:c r="L76" s="4" t="str"/>
      <x:c r="M76" s="4" t="str">
        <x:v>[{"claim": "Pilotless military aircraft", "at_deadline": "FULFILLED", "at_review": "FULFILLED"}, {"claim": "Deployed laser weapon", "at_deadline": "PARTLY_FULFILLED", "at_review": "FULFILLED", "documented_by_year": 2014}, {"claim": "Operational particle-beam weapon", "at_deadline": "NOT_FULFILLED", "at_review": "NOT_FULFILLED"}]</x:v>
      </x:c>
      <x:c r="N76" s="4" t="str">
        <x:v>https://news.cornell.edu/stories/2007/11/cornell-meets-darpa-urban-challenge | https://www.navy.mil/Press-Office/Press-Releases/display-pressreleases/Article/2262668/nswc-dahlgren-laser-weapon-system-team-wins-2014-top-navy-scientists-and-engine/</x:v>
      </x:c>
    </x:row>
    <x:row r="77" ht="160" customHeight="1">
      <x:c r="A77" s="4" t="str">
        <x:v>EXE-008</x:v>
      </x:c>
      <x:c r="B77" s="4" t="str">
        <x:v>“2009 computer will be a tablet or smaller device with high quality… display”【63†L382-L389】</x:v>
      </x:c>
      <x:c r="C77" s="4" t="str">
        <x:v>2009</x:v>
      </x:c>
      <x:c r="D77" s="4" t="str">
        <x:v>K046</x:v>
      </x:c>
      <x:c r="E77" s="4" t="str">
        <x:v>USE_LINKED_CANONICAL_CLAIM_WITH_EXPLICIT_CORRECTED_SCOPE</x:v>
      </x:c>
      <x:c r="F77" s="4" t="str"/>
      <x:c r="G77" s="4" t="str"/>
      <x:c r="H77" s="4" t="str"/>
      <x:c r="I77" s="4" t="str"/>
      <x:c r="J77" s="4" t="str">
        <x:v>Outcome judgments are completed on the linked source-matched criteria. Preserve the original wording/date and this reconciliation; do not represent a corrected scope as a verbatim import.</x:v>
      </x:c>
      <x:c r="K77" s="4" t="str"/>
      <x:c r="L77" s="4" t="str"/>
      <x:c r="M77" s="4" t="str">
        <x:v>[{"id": "K046", "title": "Portable computers in many tiny form factors", "verdict": "CORRECT", "at_deadline": "FULFILLED", "at_review": "FULFILLED"}]</x:v>
      </x:c>
      <x:c r="N77" s="4" t="str"/>
    </x:row>
    <x:row r="78" ht="160" customHeight="1">
      <x:c r="A78" s="4" t="str">
        <x:v>EXE-009</x:v>
      </x:c>
      <x:c r="B78" s="4" t="str">
        <x:v>“2019 computers are largely invisible – images projected directly into the retina”【63†L382-L389】</x:v>
      </x:c>
      <x:c r="C78" s="4" t="str">
        <x:v>2019</x:v>
      </x:c>
      <x:c r="D78" s="4" t="str">
        <x:v>K050;K030</x:v>
      </x:c>
      <x:c r="E78" s="4" t="str">
        <x:v>USE_LINKED_CANONICAL_CLAIM_WITH_EXPLICIT_CORRECTED_SCOPE</x:v>
      </x:c>
      <x:c r="F78" s="4" t="str"/>
      <x:c r="G78" s="4" t="str"/>
      <x:c r="H78" s="4" t="str"/>
      <x:c r="I78" s="4" t="str"/>
      <x:c r="J78" s="4" t="str">
        <x:v>Outcome judgments are completed on the linked source-matched criteria. Preserve the original wording/date and this reconciliation; do not represent a corrected scope as a verbatim import.</x:v>
      </x:c>
      <x:c r="K78" s="4" t="str"/>
      <x:c r="L78" s="4" t="str"/>
      <x:c r="M78" s="4" t="str">
        <x:v>[{"id": "K050", "title": "Invisible computing embedded throughout the environment", "verdict": "CORRECT", "at_deadline": "FULFILLED", "at_review": "FULFILLED"}, {"id": "K030", "title": "Routine high-acuity retinal displays", "verdict": "PARTIAL", "at_deadline": "PARTLY_FULFILLED", "at_review": "PARTLY_FULFILLED"}]</x:v>
      </x:c>
      <x:c r="N78" s="4" t="str"/>
    </x:row>
    <x:row r="79" ht="160" customHeight="1">
      <x:c r="A79" s="4" t="str">
        <x:v>EXE-010</x:v>
      </x:c>
      <x:c r="B79" s="4" t="str">
        <x:v>“2029 computers will communicate through direct neural pathways”【63†L382-L389】</x:v>
      </x:c>
      <x:c r="C79" s="4" t="str">
        <x:v>2029</x:v>
      </x:c>
      <x:c r="D79" s="4" t="str">
        <x:v>K032</x:v>
      </x:c>
      <x:c r="E79" s="4" t="str">
        <x:v>USE_LINKED_CANONICAL_CLAIM_WITH_EXPLICIT_CORRECTED_SCOPE</x:v>
      </x:c>
      <x:c r="F79" s="4" t="str"/>
      <x:c r="G79" s="4" t="str"/>
      <x:c r="H79" s="4" t="str"/>
      <x:c r="I79" s="4" t="str"/>
      <x:c r="J79" s="4" t="str">
        <x:v>Outcome judgments are completed on the linked source-matched criteria. Preserve the original wording/date and this reconciliation; do not represent a corrected scope as a verbatim import.</x:v>
      </x:c>
      <x:c r="K79" s="4" t="str"/>
      <x:c r="L79" s="4" t="str"/>
      <x:c r="M79" s="4" t="str">
        <x:v>[{"id": "K032", "title": "High-bandwidth neural interfaces augment brain functions", "verdict": "PENDING", "at_deadline": "NOT_DUE", "at_review": "PARTLY_FULFILLED"}]</x:v>
      </x:c>
      <x:c r="N79" s="4" t="str"/>
    </x:row>
    <x:row r="80" ht="160" customHeight="1">
      <x:c r="A80" s="4" t="str">
        <x:v>EXE-011</x:v>
      </x:c>
      <x:c r="B80" s="4" t="str">
        <x:v>“Interest and speculation about the Turing test in 2009; by 2029 machines ‘routinely’ pass the test”【63†L386-L390】</x:v>
      </x:c>
      <x:c r="C80" s="4" t="str">
        <x:v>2009, 2019, 2029</x:v>
      </x:c>
      <x:c r="D80" s="4" t="str">
        <x:v>K045;K023</x:v>
      </x:c>
      <x:c r="E80" s="4" t="str">
        <x:v>CONDITIONAL_ON_IMPORTED_WORDING_NOT_VERIFIED_ATTRIBUTION</x:v>
      </x:c>
      <x:c r="F80" s="4" t="str">
        <x:v>PENDING</x:v>
      </x:c>
      <x:c r="G80" s="4" t="str">
        <x:v>NOT_DUE</x:v>
      </x:c>
      <x:c r="H80" s="4" t="str">
        <x:v>PARTLY_FULFILLED</x:v>
      </x:c>
      <x:c r="I80" s="4" t="str">
        <x:v>2029</x:v>
      </x:c>
      <x:c r="J80" s="4" t="str">
        <x:v>The 2002 public wager establishes earlier debate. Its demanding 2029 success condition remains pending; shorter conversational experiments are separate positive evidence.</x:v>
      </x:c>
      <x:c r="K80" s="4" t="str"/>
      <x:c r="L80" s="4" t="str"/>
      <x:c r="M80" s="4" t="str">
        <x:v>[{"claim": "Public Turing-test debate by 2009", "deadline": 2009, "at_deadline": "FULFILLED", "at_review": "FULFILLED", "verdict": "CORRECT"}, {"claim": "Routine passing by 2029", "deadline": 2029, "at_deadline": "NOT_DUE", "at_review": "PARTLY_FULFILLED", "verdict": "PENDING"}]</x:v>
      </x:c>
      <x:c r="N80" s="4" t="str">
        <x:v>https://longbets.org/1/ | https://arxiv.org/abs/2503.23674</x:v>
      </x:c>
    </x:row>
    <x:row r="81" ht="160" customHeight="1">
      <x:c r="A81" s="4" t="str">
        <x:v>EXE-012</x:v>
      </x:c>
      <x:c r="B81" s="4" t="str">
        <x:v>“In 2009 it will take a supercomputer to match one human brain; in 2019 \$4,000 does the same; in 2029 \$1,000 buys 1000 brains”【63†L392-L399】</x:v>
      </x:c>
      <x:c r="C81" s="4" t="str">
        <x:v>2009–2029</x:v>
      </x:c>
      <x:c r="D81" s="4" t="str">
        <x:v>K033;K034;K035</x:v>
      </x:c>
      <x:c r="E81" s="4" t="str">
        <x:v>CONDITIONAL_ON_IMPORTED_WORDING_NOT_VERIFIED_ATTRIBUTION</x:v>
      </x:c>
      <x:c r="F81" s="4" t="str">
        <x:v>PENDING</x:v>
      </x:c>
      <x:c r="G81" s="4" t="str">
        <x:v>NOT_DUE</x:v>
      </x:c>
      <x:c r="H81" s="4" t="str">
        <x:v>PARTLY_FULFILLED</x:v>
      </x:c>
      <x:c r="I81" s="4" t="str">
        <x:v>2029</x:v>
      </x:c>
      <x:c r="J81" s="4" t="str">
        <x:v>The 2009 budget arrives late on sustained throughput; the 2019 $4,000 budget remains unfulfilled on the numerical criterion; 2029 remains pending. The $4,000 import is not the sourced $1,000 2019 version.</x:v>
      </x:c>
      <x:c r="K81" s="4" t="str"/>
      <x:c r="L81" s="4" t="str"/>
      <x:c r="M81" s="4" t="str">
        <x:v>[{"claim": "20 PFLOPS supercomputer", "deadline": 2009, "at_deadline": "NOT_FULFILLED", "at_review": "FULFILLED", "verdict": "LATE"}, {"claim": "$4,000 for 20 PFLOPS", "deadline": 2019, "at_deadline": "NOT_FULFILLED", "at_review": "NOT_FULFILLED", "verdict": "WRONG"}, {"claim": "$1,000 for 1,000 brains", "deadline": 2029, "at_deadline": "NOT_DUE", "at_review": "NOT_FULFILLED", "verdict": "PENDING"}]</x:v>
      </x:c>
      <x:c r="N81" s="4" t="str">
        <x:v>https://www.top500.org/lists/top500/2009/11/ | https://www.top500.org/lists/top500/2013/06/highlights/ | https://www.nvidia.com/en-us/geforce/news/introducing-rtx-30-series-graphics-cards/ | https://www.nvidia.com/en-us/geforce/graphics-cards/50-series/rtx-5080/ | https://investor.nvidia.com/news/press-release-details/2025/NVIDIA-Blackwell-GeForce-RTX-50-Series-Opens-New-World-of-AI-Computer-Graphics/default.aspx</x:v>
      </x:c>
    </x:row>
    <x:row r="82" ht="160" customHeight="1">
      <x:c r="A82" s="4" t="str">
        <x:v>EXE-013</x:v>
      </x:c>
      <x:c r="B82" s="4" t="str">
        <x:v>“Life expectancy &gt;100 by 2019; 120 by 2029; indefinite by 2099”【63†L392-L399】</x:v>
      </x:c>
      <x:c r="C82" s="4" t="str">
        <x:v>2019, 2029, 2099</x:v>
      </x:c>
      <x:c r="D82" s="4" t="str">
        <x:v>K027;K028</x:v>
      </x:c>
      <x:c r="E82" s="4" t="str">
        <x:v>CONDITIONAL_ON_IMPORTED_WORDING_NOT_VERIFIED_ATTRIBUTION</x:v>
      </x:c>
      <x:c r="F82" s="4" t="str">
        <x:v>PENDING</x:v>
      </x:c>
      <x:c r="G82" s="4" t="str">
        <x:v>NOT_DUE</x:v>
      </x:c>
      <x:c r="H82" s="4" t="str">
        <x:v>PARTLY_FULFILLED</x:v>
      </x:c>
      <x:c r="I82" s="4" t="str">
        <x:v>2099</x:v>
      </x:c>
      <x:c r="J82" s="4" t="str">
        <x:v>Keep each threshold separate: ordinary lifespan over 100 was missed; 120 by 2029 and indefinite lifespan by 2099 remain pending. Ordinary population longevity is not the age record of one person.</x:v>
      </x:c>
      <x:c r="K82" s="4" t="str"/>
      <x:c r="L82" s="4" t="str"/>
      <x:c r="M82" s="4" t="str">
        <x:v>[{"claim": "Life expectancy over 100", "deadline": 2019, "at_deadline": "NOT_FULFILLED", "at_review": "NOT_FULFILLED", "verdict": "WRONG"}, {"claim": "Life expectancy 120", "deadline": 2029, "at_deadline": "NOT_DUE", "at_review": "NOT_FULFILLED", "verdict": "PENDING"}, {"claim": "Indefinite lifespan", "deadline": 2099, "at_deadline": "NOT_DUE", "at_review": "NOT_FULFILLED", "verdict": "PENDING"}]</x:v>
      </x:c>
      <x:c r="N82" s="4" t="str">
        <x:v>https://www.cdc.gov/nchs/products/databriefs/db395.htm | https://www.cdc.gov/nchs/products/databriefs/db548.htm</x:v>
      </x:c>
    </x:row>
    <x:row r="83" ht="160" customHeight="1">
      <x:c r="A83" s="4" t="str">
        <x:v>EXE-014</x:v>
      </x:c>
      <x:c r="B83" s="4" t="str">
        <x:v>“Within 10 years (by 2009) we will have option to spend time in 3D virtual environments that appear just as real…”【79†L688-L695】</x:v>
      </x:c>
      <x:c r="C83" s="4" t="str">
        <x:v>2009</x:v>
      </x:c>
      <x:c r="D83" s="4" t="str">
        <x:v>K017</x:v>
      </x:c>
      <x:c r="E83" s="4" t="str">
        <x:v>CONDITIONAL_ON_IMPORTED_WORDING_NOT_VERIFIED_ATTRIBUTION</x:v>
      </x:c>
      <x:c r="F83" s="4" t="str">
        <x:v>PARTIAL</x:v>
      </x:c>
      <x:c r="G83" s="4" t="str">
        <x:v>NOT_FULFILLED</x:v>
      </x:c>
      <x:c r="H83" s="4" t="str">
        <x:v>PARTLY_FULFILLED</x:v>
      </x:c>
      <x:c r="I83" s="4" t="str">
        <x:v>2009</x:v>
      </x:c>
      <x:c r="J83" s="4" t="str">
        <x:v>Basic VR is not full sensory indistinguishability. Modern consumer immersive audiovisual VR realizes part of the experience, without establishing the complete fidelity of the imported claim.</x:v>
      </x:c>
      <x:c r="K83" s="4" t="str"/>
      <x:c r="L83" s="4" t="str"/>
      <x:c r="M83" s="4" t="str">
        <x:v>[]</x:v>
      </x:c>
      <x:c r="N83" s="4" t="str">
        <x:v>https://www.qualcomm.com/news/releases/2019/05/qualcomm-snapdragon-mobile-vr-platform-powers-oculus-quest | https://arxiv.org/abs/2508.20831</x:v>
      </x:c>
    </x:row>
    <x:row r="84" ht="160" customHeight="1">
      <x:c r="A84" s="4" t="str">
        <x:v>EXE-017</x:v>
      </x:c>
      <x:c r="B84" s="4" t="str">
        <x:v>“By 2010 a supercomputer will have the computational capacity to emulate human intelligence”【22†L381-L389】</x:v>
      </x:c>
      <x:c r="C84" s="4" t="str">
        <x:v>2010</x:v>
      </x:c>
      <x:c r="D84" s="4" t="str">
        <x:v>K033;K025</x:v>
      </x:c>
      <x:c r="E84" s="4" t="str">
        <x:v>CONDITIONAL_ON_IMPORTED_WORDING_NOT_VERIFIED_ATTRIBUTION</x:v>
      </x:c>
      <x:c r="F84" s="4" t="str">
        <x:v>LATE</x:v>
      </x:c>
      <x:c r="G84" s="4" t="str">
        <x:v>NOT_FULFILLED</x:v>
      </x:c>
      <x:c r="H84" s="4" t="str">
        <x:v>FULFILLED</x:v>
      </x:c>
      <x:c r="I84" s="4" t="str">
        <x:v>2010</x:v>
      </x:c>
      <x:c r="J84" s="4" t="str">
        <x:v>On the explicit numerical hardware-budget reading, the 2009/2010 horizon was early and later TOP500 machines exceed it. This is not proof of software intelligence or emulation. Exact first crossing varies with 10 versus 20 PFLOPS and peak versus sustained measurements.</x:v>
      </x:c>
      <x:c r="K84" s="4" t="str">
        <x:v>Documented by 2013; depending on numeric threshold and metric the first crossing is earlier. No exact drift assigned.</x:v>
      </x:c>
      <x:c r="L84" s="4" t="str"/>
      <x:c r="M84" s="4" t="str">
        <x:v>[]</x:v>
      </x:c>
      <x:c r="N84" s="4" t="str">
        <x:v>https://www.top500.org/lists/top500/2009/11/ | https://www.top500.org/lists/top500/2012/11/ | https://www.top500.org/lists/top500/2013/06/highlights/ | https://www.writingsbyraykurzweil.com/so-what-is-the-singularity</x:v>
      </x:c>
    </x:row>
    <x:row r="85" ht="160" customHeight="1">
      <x:c r="A85" s="4" t="str">
        <x:v>EXE-019</x:v>
      </x:c>
      <x:c r="B85" s="4" t="str">
        <x:v>“By mid-2020s an effective model of human intelligence via brain scanning”【22†L384-L387】</x:v>
      </x:c>
      <x:c r="C85" s="4" t="str">
        <x:v>mid-2020s</x:v>
      </x:c>
      <x:c r="D85" s="4" t="str">
        <x:v>K036</x:v>
      </x:c>
      <x:c r="E85" s="4" t="str">
        <x:v>USE_LINKED_CANONICAL_CLAIM_WITH_EXPLICIT_CORRECTED_SCOPE</x:v>
      </x:c>
      <x:c r="F85" s="4" t="str"/>
      <x:c r="G85" s="4" t="str"/>
      <x:c r="H85" s="4" t="str"/>
      <x:c r="I85" s="4" t="str"/>
      <x:c r="J85" s="4" t="str">
        <x:v>Outcome judgments are completed on the linked source-matched criteria. Preserve the original wording/date and this reconciliation; do not represent a corrected scope as a verbatim import.</x:v>
      </x:c>
      <x:c r="K85" s="4" t="str"/>
      <x:c r="L85" s="4" t="str"/>
      <x:c r="M85" s="4" t="str">
        <x:v>[{"id": "K036", "title": "Effective models of all brain regions", "verdict": "PARTIAL", "at_deadline": "PARTLY_FULFILLED", "at_review": "PARTLY_FULFILLED"}]</x:v>
      </x:c>
      <x:c r="N85" s="4" t="str"/>
    </x:row>
    <x:row r="86" ht="160" customHeight="1">
      <x:c r="A86" s="4" t="str">
        <x:v>EXE-021</x:v>
      </x:c>
      <x:c r="B86" s="4" t="str">
        <x:v>“By early 2030s, human and machine intelligence integrated” (hybrid intelligence)【79†L692-L700】</x:v>
      </x:c>
      <x:c r="C86" s="4" t="str">
        <x:v>2030s</x:v>
      </x:c>
      <x:c r="D86" s="4" t="str">
        <x:v>K043</x:v>
      </x:c>
      <x:c r="E86" s="4" t="str">
        <x:v>USE_LINKED_CANONICAL_CLAIM_WITH_EXPLICIT_CORRECTED_SCOPE</x:v>
      </x:c>
      <x:c r="F86" s="4" t="str"/>
      <x:c r="G86" s="4" t="str"/>
      <x:c r="H86" s="4" t="str"/>
      <x:c r="I86" s="4" t="str"/>
      <x:c r="J86" s="4" t="str">
        <x:v>Outcome judgments are completed on the linked source-matched criteria. Preserve the original wording/date and this reconciliation; do not represent a corrected scope as a verbatim import.</x:v>
      </x:c>
      <x:c r="K86" s="4" t="str"/>
      <x:c r="L86" s="4" t="str"/>
      <x:c r="M86" s="4" t="str">
        <x:v>[{"id": "K043", "title": "Brain-to-cloud cognitive integration", "verdict": "PENDING", "at_deadline": "NOT_DUE", "at_review": "PARTLY_FULFILLED"}]</x:v>
      </x:c>
      <x:c r="N86" s="4" t="str"/>
    </x:row>
    <x:row r="87" ht="160" customHeight="1">
      <x:c r="A87" s="4" t="str">
        <x:v>EXE-022</x:v>
      </x:c>
      <x:c r="B87" s="4" t="str">
        <x:v>“It will take \$1,000 to equal 1000 human brains by 2029”【63†L392-L399】</x:v>
      </x:c>
      <x:c r="C87" s="4" t="str">
        <x:v>2029</x:v>
      </x:c>
      <x:c r="D87" s="4" t="str">
        <x:v>K035</x:v>
      </x:c>
      <x:c r="E87" s="4" t="str">
        <x:v>USE_LINKED_CANONICAL_CLAIM_WITH_EXPLICIT_CORRECTED_SCOPE</x:v>
      </x:c>
      <x:c r="F87" s="4" t="str"/>
      <x:c r="G87" s="4" t="str"/>
      <x:c r="H87" s="4" t="str"/>
      <x:c r="I87" s="4" t="str"/>
      <x:c r="J87" s="4" t="str">
        <x:v>Outcome judgments are completed on the linked source-matched criteria. Preserve the original wording/date and this reconciliation; do not represent a corrected scope as a verbatim import.</x:v>
      </x:c>
      <x:c r="K87" s="4" t="str"/>
      <x:c r="L87" s="4" t="str"/>
      <x:c r="M87" s="4" t="str">
        <x:v>[{"id": "K035", "title": "Thousand-brain computation for a thousand dollars", "verdict": "PENDING", "at_deadline": "NOT_DUE", "at_review": "NOT_FULFILLED"}]</x:v>
      </x:c>
      <x:c r="N87" s="4" t="str"/>
    </x:row>
    <x:row r="88" ht="160" customHeight="1">
      <x:c r="A88" s="4" t="str">
        <x:v>EXE-025</x:v>
      </x:c>
      <x:c r="B88" s="4" t="str">
        <x:v>“During the 2020s, AI plus biotechnology will cure most chronic degenerative diseases”【24†L169-L174】</x:v>
      </x:c>
      <x:c r="C88" s="4" t="str">
        <x:v>2020s</x:v>
      </x:c>
      <x:c r="D88" s="4" t="str"/>
      <x:c r="E88" s="4" t="str">
        <x:v>CONDITIONAL_ON_IMPORTED_WORDING_NOT_VERIFIED_ATTRIBUTION</x:v>
      </x:c>
      <x:c r="F88" s="4" t="str">
        <x:v>PENDING</x:v>
      </x:c>
      <x:c r="G88" s="4" t="str">
        <x:v>NOT_DUE</x:v>
      </x:c>
      <x:c r="H88" s="4" t="str">
        <x:v>PARTLY_FULFILLED</x:v>
      </x:c>
      <x:c r="I88" s="4" t="str">
        <x:v>2029</x:v>
      </x:c>
      <x:c r="J88" s="4" t="str">
        <x:v>The decade is not over. Mechanistic and genomic research represents progress, not evidence that most conditions are cured. This imported attribution needs its original passage; current progress can nevertheless be assessed.</x:v>
      </x:c>
      <x:c r="K88" s="4" t="str"/>
      <x:c r="L88" s="4" t="str"/>
      <x:c r="M88" s="4" t="str">
        <x:v>[]</x:v>
      </x:c>
      <x:c r="N88" s="4" t="str">
        <x:v>https://doi.org/10.1016/j.cell.2013.05.039 | https://gdc.cancer.gov/about-data/publications/PanCan-CellOfOrigin | https://pubmed.ncbi.nlm.nih.gov/36599349/ | https://www.cdc.gov/nchs/products/databriefs/db548.htm</x:v>
      </x:c>
    </x:row>
    <x:row r="89" ht="160" customHeight="1">
      <x:c r="A89" s="4" t="str">
        <x:v>EXE-026</x:v>
      </x:c>
      <x:c r="B89" s="4" t="str">
        <x:v>“By the mid-2020s, AI can model the human mind; by 2030s life extenda” (implied continuation)</x:v>
      </x:c>
      <x:c r="C89" s="4" t="str">
        <x:v>2025–2035</x:v>
      </x:c>
      <x:c r="D89" s="4" t="str">
        <x:v>K036</x:v>
      </x:c>
      <x:c r="E89" s="4" t="str">
        <x:v>CONDITIONAL_ON_IMPORTED_WORDING_NOT_VERIFIED_ATTRIBUTION</x:v>
      </x:c>
      <x:c r="F89" s="4" t="str">
        <x:v>PENDING</x:v>
      </x:c>
      <x:c r="G89" s="4" t="str">
        <x:v>NOT_DUE</x:v>
      </x:c>
      <x:c r="H89" s="4" t="str">
        <x:v>PARTLY_FULFILLED</x:v>
      </x:c>
      <x:c r="I89" s="4" t="str">
        <x:v>2039</x:v>
      </x:c>
      <x:c r="J89" s="4" t="str">
        <x:v>Human brain models are assessed as partial under the 2025 reference deadline (K036); general life extension is too loosely specified in this truncated import, but enabling progress is real. Do not score a dangling phrase as a separate miss.</x:v>
      </x:c>
      <x:c r="K89" s="4" t="str"/>
      <x:c r="L89" s="4" t="str"/>
      <x:c r="M89" s="4" t="str">
        <x:v>[{"claim": "Functional human brain models", "deadline": 2025, "at_deadline": "PARTLY_FULFILLED", "at_review": "PARTLY_FULFILLED", "verdict": "PARTIAL"}, {"claim": "Unspecified life extension in 2030s", "deadline": 2039, "at_deadline": "NOT_DUE", "at_review": "PARTLY_FULFILLED", "verdict": "PENDING"}]</x:v>
      </x:c>
      <x:c r="N89" s="4" t="str">
        <x:v>https://www.nimh.nih.gov/news/science-updates/2023/scientists-unveil-complete-cell-map-of-a-whole-mammalian-brain | https://www.nature.com/articles/s41586-024-07686-5 | https://pubmed.ncbi.nlm.nih.gov/36599349/</x:v>
      </x:c>
    </x:row>
  </x:sheetData>
  <x:pageMargins left="0.7" right="0.7" top="0.75" bottom="0.75" header="0.3" footer="0.3"/>
  <x:tableParts count="1">
    <x:tablePart xmlns:r="http://schemas.openxmlformats.org/officeDocument/2006/relationships" r:id="Rbdeba082c6984ec7"/>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39" hidden="0" customWidth="1"/>
    <x:col min="3" max="3" width="40" hidden="0" customWidth="1"/>
    <x:col min="4" max="4" width="18" hidden="0" customWidth="1"/>
    <x:col min="5" max="5" width="31" hidden="0" customWidth="1"/>
    <x:col min="6" max="6" width="40" hidden="0" customWidth="1"/>
  </x:cols>
  <x:sheetData>
    <x:row r="1" ht="32" customHeight="1">
      <x:c r="A1" s="9" t="str">
        <x:v>ID</x:v>
      </x:c>
      <x:c r="B1" s="9" t="str">
        <x:v>Source</x:v>
      </x:c>
      <x:c r="C1" s="9" t="str">
        <x:v>URL</x:v>
      </x:c>
      <x:c r="D1" s="9" t="str">
        <x:v>Publication date</x:v>
      </x:c>
      <x:c r="E1" s="9" t="str">
        <x:v>Type</x:v>
      </x:c>
      <x:c r="F1" s="9" t="str">
        <x:v>Evidence scope / caveat</x:v>
      </x:c>
    </x:row>
    <x:row r="2" ht="85" customHeight="1">
      <x:c r="A2" s="4" t="str">
        <x:v>N01</x:v>
      </x:c>
      <x:c r="B2" s="4" t="str">
        <x:v>Pew: About one-in-five Americans use a smartwatch or fitness tracker</x:v>
      </x:c>
      <x:c r="C2" s="4" t="str">
        <x:v>https://www.pewresearch.org/short-reads/2020/01/09/about-one-in-five-americans-use-a-smart-watch-or-fitness-tracker/</x:v>
      </x:c>
      <x:c r="D2" s="4" t="str">
        <x:v>2020-01-09</x:v>
      </x:c>
      <x:c r="E2" s="4" t="str">
        <x:v>PRIMARY_RESEARCH_OR_OFFICIAL</x:v>
      </x:c>
      <x:c r="F2" s="4" t="str">
        <x:v>June 2019 US survey: 21% regularly wear one. Common does not mean majority, and US adult prevalence is not global prevalence.</x:v>
      </x:c>
    </x:row>
    <x:row r="3" ht="85" customHeight="1">
      <x:c r="A3" s="4" t="str">
        <x:v>N02</x:v>
      </x:c>
      <x:c r="B3" s="4" t="str">
        <x:v>Pew: Americans and their gadgets</x:v>
      </x:c>
      <x:c r="C3" s="4" t="str">
        <x:v>https://www.pewresearch.org/internet/2010/10/14/americans-and-their-gadgets/</x:v>
      </x:c>
      <x:c r="D3" s="4" t="str">
        <x:v>2010-10-14</x:v>
      </x:c>
      <x:c r="E3" s="4" t="str">
        <x:v>PRIMARY_RESEARCH_OR_OFFICIAL</x:v>
      </x:c>
      <x:c r="F3" s="4" t="str">
        <x:v>US survey, seven broad device categories; median three categories. A proxy for device ownership, not a direct census of worn processors or 2009 body networks.</x:v>
      </x:c>
    </x:row>
    <x:row r="4" ht="85" customHeight="1">
      <x:c r="A4" s="4" t="str">
        <x:v>N03</x:v>
      </x:c>
      <x:c r="B4" s="4" t="str">
        <x:v>Apple: Small clip-on iPod shuffle</x:v>
      </x:c>
      <x:c r="C4" s="4" t="str">
        <x:v>https://www.apple.com/newsroom/2009/03/11Apple-Announces-Incredible-New-iPod-shuffle/</x:v>
      </x:c>
      <x:c r="D4" s="4" t="str">
        <x:v>2009-03-11</x:v>
      </x:c>
      <x:c r="E4" s="4" t="str">
        <x:v>PRIMARY_RESEARCH_OR_OFFICIAL</x:v>
      </x:c>
      <x:c r="F4" s="4" t="str">
        <x:v>Primary institutional, research, or issuer source. Dates in the claim refer to the observation or product event, not the review date.</x:v>
      </x:c>
    </x:row>
    <x:row r="5" ht="85" customHeight="1">
      <x:c r="A5" s="4" t="str">
        <x:v>N04</x:v>
      </x:c>
      <x:c r="B5" s="4" t="str">
        <x:v>Microvision: Nomad retinal display installed at Chevrolet dealership</x:v>
      </x:c>
      <x:c r="C5" s="4" t="str">
        <x:v>https://www.theautochannel.com/news/2004/08/10/208323.html</x:v>
      </x:c>
      <x:c r="D5" s="4" t="str">
        <x:v>2004-08-10</x:v>
      </x:c>
      <x:c r="E5" s="4" t="str">
        <x:v>ISSUER_RELEASE_SYNDICATED</x:v>
      </x:c>
      <x:c r="F5" s="4" t="str">
        <x:v>Microvision-issued release hosted by The Auto Channel: actual industrial deployment. Head-worn see-through retinal display; not ordinary prescription-glasses styling or mass consumer adoption.</x:v>
      </x:c>
    </x:row>
    <x:row r="6" ht="85" customHeight="1">
      <x:c r="A6" s="4" t="str">
        <x:v>N05</x:v>
      </x:c>
      <x:c r="B6" s="4" t="str">
        <x:v>Qualcomm: Snapdragon platform powers shipping Oculus Quest</x:v>
      </x:c>
      <x:c r="C6" s="4" t="str">
        <x:v>https://www.qualcomm.com/news/releases/2019/05/qualcomm-snapdragon-mobile-vr-platform-powers-oculus-quest</x:v>
      </x:c>
      <x:c r="D6" s="4" t="str">
        <x:v>2019-05-20</x:v>
      </x:c>
      <x:c r="E6" s="4" t="str">
        <x:v>PRIMARY_RESEARCH_OR_OFFICIAL</x:v>
      </x:c>
      <x:c r="F6" s="4" t="str">
        <x:v>Primary institutional, research, or issuer source. Dates in the claim refer to the observation or product event, not the review date.</x:v>
      </x:c>
    </x:row>
    <x:row r="7" ht="85" customHeight="1">
      <x:c r="A7" s="4" t="str">
        <x:v>N06</x:v>
      </x:c>
      <x:c r="B7" s="4" t="str">
        <x:v>Apple: Spatial audio and head tracking on AirPods</x:v>
      </x:c>
      <x:c r="C7" s="4" t="str">
        <x:v>https://support.apple.com/en-kz/guide/airpods/dev00eb7e0a3/web</x:v>
      </x:c>
      <x:c r="D7" s="4"/>
      <x:c r="E7" s="4" t="str">
        <x:v>PRIMARY_RESEARCH_OR_OFFICIAL</x:v>
      </x:c>
      <x:c r="F7" s="4" t="str">
        <x:v>Primary institutional, research, or issuer source. Dates in the claim refer to the observation or product event, not the review date.</x:v>
      </x:c>
    </x:row>
    <x:row r="8" ht="85" customHeight="1">
      <x:c r="A8" s="4" t="str">
        <x:v>N07</x:v>
      </x:c>
      <x:c r="B8" s="4" t="str">
        <x:v>Waymo opens its fully driverless service to the public</x:v>
      </x:c>
      <x:c r="C8" s="4" t="str">
        <x:v>https://waymo.com/blog/2020/10/waymo-is-opening-its-fully-driverless-service-in-phoenix/</x:v>
      </x:c>
      <x:c r="D8" s="4" t="str">
        <x:v>2020-10-08</x:v>
      </x:c>
      <x:c r="E8" s="4" t="str">
        <x:v>PRIMARY_RESEARCH_OR_OFFICIAL</x:v>
      </x:c>
      <x:c r="F8" s="4" t="str">
        <x:v>Geofenced Phoenix service, not all roads, universal ownership, or road-embedded guidance infrastructure.</x:v>
      </x:c>
    </x:row>
    <x:row r="9" ht="85" customHeight="1">
      <x:c r="A9" s="4" t="str">
        <x:v>N08</x:v>
      </x:c>
      <x:c r="B9" s="4" t="str">
        <x:v>UN human-rights monitors: 2025 deadliest civilian year in Ukraine since 2022</x:v>
      </x:c>
      <x:c r="C9" s="4" t="str">
        <x:v>https://ukraine.ohchr.org/en/2025-deadliest-year-for-civilians-in-Ukraine-since-2022-UN-human-rights-monitors-find</x:v>
      </x:c>
      <x:c r="D9" s="4" t="str">
        <x:v>2026-01</x:v>
      </x:c>
      <x:c r="E9" s="4" t="str">
        <x:v>PRIMARY_RESEARCH_OR_OFFICIAL</x:v>
      </x:c>
      <x:c r="F9" s="4" t="str">
        <x:v>2025 civilian casualties and ongoing front-line fighting; not a global measure of military drone share.</x:v>
      </x:c>
    </x:row>
    <x:row r="10" ht="85" customHeight="1">
      <x:c r="A10" s="4" t="str">
        <x:v>N09</x:v>
      </x:c>
      <x:c r="B10" s="4" t="str">
        <x:v>NVIDIA: RTX 30-series launch specifications and pricing</x:v>
      </x:c>
      <x:c r="C10" s="4" t="str">
        <x:v>https://www.nvidia.com/en-us/geforce/news/introducing-rtx-30-series-graphics-cards/</x:v>
      </x:c>
      <x:c r="D10" s="4" t="str">
        <x:v>2020-09-01</x:v>
      </x:c>
      <x:c r="E10" s="4" t="str">
        <x:v>PRIMARY_RESEARCH_OR_OFFICIAL</x:v>
      </x:c>
      <x:c r="F10" s="4" t="str">
        <x:v>RTX 3080 launch price $699 and roughly 30 FP32 shader TFLOPS. Tensor, ray-tracing and shader operations are not interchangeable.</x:v>
      </x:c>
    </x:row>
    <x:row r="11" ht="85" customHeight="1">
      <x:c r="A11" s="4" t="str">
        <x:v>N10</x:v>
      </x:c>
      <x:c r="B11" s="4" t="str">
        <x:v>NVIDIA: RTX 5080 specifications</x:v>
      </x:c>
      <x:c r="C11" s="4" t="str">
        <x:v>https://www.nvidia.com/en-us/geforce/graphics-cards/50-series/rtx-5080/</x:v>
      </x:c>
      <x:c r="D11" s="4"/>
      <x:c r="E11" s="4" t="str">
        <x:v>PRIMARY_RESEARCH_OR_OFFICIAL</x:v>
      </x:c>
      <x:c r="F11" s="4" t="str">
        <x:v>10,752 CUDA cores, 2.62 GHz boost; theoretical FP32 about 56.3 TFLOPS using 2 operations/core/cycle. AI TOPS use different precision and cannot establish brain equivalence.</x:v>
      </x:c>
    </x:row>
    <x:row r="12" ht="85" customHeight="1">
      <x:c r="A12" s="4" t="str">
        <x:v>N11</x:v>
      </x:c>
      <x:c r="B12" s="4" t="str">
        <x:v>NVIDIA: Blackwell GeForce RTX 50-series launch</x:v>
      </x:c>
      <x:c r="C12" s="4" t="str">
        <x:v>https://investor.nvidia.com/news/press-release-details/2025/NVIDIA-Blackwell-GeForce-RTX-50-Series-Opens-New-World-of-AI-Computer-Graphics/default.aspx</x:v>
      </x:c>
      <x:c r="D12" s="4" t="str">
        <x:v>2025-01</x:v>
      </x:c>
      <x:c r="E12" s="4" t="str">
        <x:v>PRIMARY_RESEARCH_OR_OFFICIAL</x:v>
      </x:c>
      <x:c r="F12" s="4" t="str">
        <x:v>RTX 5080 launch MSRP $999, 1,801 AI TOPS. Launch prices are not represented as October 2026 retail quotes; a GPU also is not a whole PC.</x:v>
      </x:c>
    </x:row>
    <x:row r="13" ht="85" customHeight="1">
      <x:c r="A13" s="4" t="str">
        <x:v>N12</x:v>
      </x:c>
      <x:c r="B13" s="4" t="str">
        <x:v>Samsung begins mass production of 3D V-NAND</x:v>
      </x:c>
      <x:c r="C13" s="4" t="str">
        <x:v>https://news.samsung.com/global/samsung-starts-mass-producing-industrys-first-3d-vertical-nand-flash</x:v>
      </x:c>
      <x:c r="D13" s="4" t="str">
        <x:v>2013-08-06</x:v>
      </x:c>
      <x:c r="E13" s="4" t="str">
        <x:v>PRIMARY_RESEARCH_OR_OFFICIAL</x:v>
      </x:c>
      <x:c r="F13" s="4" t="str">
        <x:v>Primary institutional, research, or issuer source. Dates in the claim refer to the observation or product event, not the review date.</x:v>
      </x:c>
    </x:row>
    <x:row r="14" ht="85" customHeight="1">
      <x:c r="A14" s="4" t="str">
        <x:v>N13</x:v>
      </x:c>
      <x:c r="B14" s="4" t="str">
        <x:v>MIT: Carbon-nanotube microprocessor</x:v>
      </x:c>
      <x:c r="C14" s="4" t="str">
        <x:v>https://news.mit.edu/2019/carbon-nanotubes-microprocessor-0828</x:v>
      </x:c>
      <x:c r="D14" s="4" t="str">
        <x:v>2019-08-28</x:v>
      </x:c>
      <x:c r="E14" s="4" t="str">
        <x:v>PRIMARY_RESEARCH_OR_OFFICIAL</x:v>
      </x:c>
      <x:c r="F14" s="4" t="str">
        <x:v>Research prototype with more than 14,000 carbon-nanotube transistors, not commercial prevalence.</x:v>
      </x:c>
    </x:row>
    <x:row r="15" ht="85" customHeight="1">
      <x:c r="A15" s="4" t="str">
        <x:v>N14</x:v>
      </x:c>
      <x:c r="B15" s="4" t="str">
        <x:v>Seagate: 32 TB hard drives ship to channel and retail partners</x:v>
      </x:c>
      <x:c r="C15" s="4" t="str">
        <x:v>https://www.seagate.com/stories/articles/seagate-32TB-capacities-now-shipping-to-channel-and-retail-partners-globally/</x:v>
      </x:c>
      <x:c r="D15" s="4" t="str">
        <x:v>2026-01-12</x:v>
      </x:c>
      <x:c r="E15" s="4" t="str">
        <x:v>PRIMARY_RESEARCH_OR_OFFICIAL</x:v>
      </x:c>
      <x:c r="F15" s="4" t="str">
        <x:v>Current counterexample to complete displacement of rotating magnetic storage; shipping announcement for January 14, 2026.</x:v>
      </x:c>
    </x:row>
    <x:row r="16" ht="85" customHeight="1">
      <x:c r="A16" s="4" t="str">
        <x:v>N15</x:v>
      </x:c>
      <x:c r="B16" s="4" t="str">
        <x:v>NIH: Complete cell map of a whole mammalian brain</x:v>
      </x:c>
      <x:c r="C16" s="4" t="str">
        <x:v>https://www.nimh.nih.gov/news/science-updates/2023/scientists-unveil-complete-cell-map-of-a-whole-mammalian-brain</x:v>
      </x:c>
      <x:c r="D16" s="4" t="str">
        <x:v>2023-12</x:v>
      </x:c>
      <x:c r="E16" s="4" t="str">
        <x:v>PRIMARY_RESEARCH_OR_OFFICIAL</x:v>
      </x:c>
      <x:c r="F16" s="4" t="str">
        <x:v>Mouse cell atlas, not a functional emulation of the entire human brain.</x:v>
      </x:c>
    </x:row>
    <x:row r="17" ht="85" customHeight="1">
      <x:c r="A17" s="4" t="str">
        <x:v>N16</x:v>
      </x:c>
      <x:c r="B17" s="4" t="str">
        <x:v>Dorkenwald et al.: Neuronal wiring diagram of an adult brain</x:v>
      </x:c>
      <x:c r="C17" s="4" t="str">
        <x:v>https://www.nature.com/articles/s41586-024-07686-5</x:v>
      </x:c>
      <x:c r="D17" s="4" t="str">
        <x:v>2024-10-02</x:v>
      </x:c>
      <x:c r="E17" s="4" t="str">
        <x:v>PRIMARY_PAPER</x:v>
      </x:c>
      <x:c r="F17" s="4" t="str">
        <x:v>Adult fruit-fly connectome. Species, wiring map and functional cognitive model must not be conflated.</x:v>
      </x:c>
    </x:row>
    <x:row r="18" ht="85" customHeight="1">
      <x:c r="A18" s="4" t="str">
        <x:v>N17</x:v>
      </x:c>
      <x:c r="B18" s="4" t="str">
        <x:v>ONC: National trends in hospital and physician EHR adoption</x:v>
      </x:c>
      <x:c r="C18" s="4" t="str">
        <x:v>https://healthit.gov/data/quickstats/national-trends-hospital-and-physician-adoption-electronic-health-records/</x:v>
      </x:c>
      <x:c r="D18" s="4"/>
      <x:c r="E18" s="4" t="str">
        <x:v>PRIMARY_RESEARCH_OR_OFFICIAL</x:v>
      </x:c>
      <x:c r="F18" s="4" t="str">
        <x:v>US series: 2008 hospitals 9%, physicians 17%; 2014 76% and 51%; 2022 99% and 84%. Definitions evolve; adoption does not prove complete interoperable lifetime records.</x:v>
      </x:c>
    </x:row>
    <x:row r="19" ht="85" customHeight="1">
      <x:c r="A19" s="4" t="str">
        <x:v>N18</x:v>
      </x:c>
      <x:c r="B19" s="4" t="str">
        <x:v>Rao et al.: Trends in utilization of CAD mammography, 2004–2008</x:v>
      </x:c>
      <x:c r="C19" s="4" t="str">
        <x:v>https://www.sciencedirect.com/science/article/abs/pii/S1546144010002735</x:v>
      </x:c>
      <x:c r="D19" s="4" t="str">
        <x:v>2010</x:v>
      </x:c>
      <x:c r="E19" s="4" t="str">
        <x:v>PRIMARY_PAPER</x:v>
      </x:c>
      <x:c r="F19" s="4" t="str">
        <x:v>Computer-aided detection accompanied 74% of Medicare screening mammograms in 2008. Routine use is established, not improved accuracy or autonomous diagnosis.</x:v>
      </x:c>
    </x:row>
    <x:row r="20" ht="85" customHeight="1">
      <x:c r="A20" s="4" t="str">
        <x:v>N19</x:v>
      </x:c>
      <x:c r="B20" s="4" t="str">
        <x:v>CDC: Telemedicine use among adults, United States, 2021</x:v>
      </x:c>
      <x:c r="C20" s="4" t="str">
        <x:v>https://www.cdc.gov/nchs/products/databriefs/db445.htm</x:v>
      </x:c>
      <x:c r="D20" s="4" t="str">
        <x:v>2022-10</x:v>
      </x:c>
      <x:c r="E20" s="4" t="str">
        <x:v>PRIMARY_RESEARCH_OR_OFFICIAL</x:v>
      </x:c>
      <x:c r="F20" s="4" t="str">
        <x:v>37% of US adults used phone or video telemedicine in 2021. Does not establish widespread tactile remote examination.</x:v>
      </x:c>
    </x:row>
    <x:row r="21" ht="85" customHeight="1">
      <x:c r="A21" s="4" t="str">
        <x:v>N20</x:v>
      </x:c>
      <x:c r="B21" s="4" t="str">
        <x:v>Google Translate: 2015 official product updates</x:v>
      </x:c>
      <x:c r="C21" s="4" t="str">
        <x:v>https://translate.googleblog.com/2015/</x:v>
      </x:c>
      <x:c r="D21" s="4" t="str">
        <x:v>2015</x:v>
      </x:c>
      <x:c r="E21" s="4" t="str">
        <x:v>PRIMARY_RESEARCH_OR_OFFICIAL</x:v>
      </x:c>
      <x:c r="F21" s="4" t="str">
        <x:v>Conversation and speech translation documented in product updates. Text-language counts must not be presented as speech-language counts; 44-language wearable speech support is separately identified.</x:v>
      </x:c>
    </x:row>
    <x:row r="22" ht="85" customHeight="1">
      <x:c r="A22" s="4" t="str">
        <x:v>N21</x:v>
      </x:c>
      <x:c r="B22" s="4" t="str">
        <x:v>IFR: Service robots record sales worldwide</x:v>
      </x:c>
      <x:c r="C22" s="4" t="str">
        <x:v>https://ifr.org/ifr-press-releases/news/service-robots-record-sales-worldwide-up-32</x:v>
      </x:c>
      <x:c r="D22" s="4" t="str">
        <x:v>2020-10</x:v>
      </x:c>
      <x:c r="E22" s="4" t="str">
        <x:v>PRIMARY_RESEARCH_OR_OFFICIAL</x:v>
      </x:c>
      <x:c r="F22" s="4" t="str">
        <x:v>23.2 million consumer/domestic service robots sold in 2019, +34%. Annual sales are not household penetration or a count of robot-owning homes.</x:v>
      </x:c>
    </x:row>
    <x:row r="23" ht="85" customHeight="1">
      <x:c r="A23" s="4" t="str">
        <x:v>N22</x:v>
      </x:c>
      <x:c r="B23" s="4" t="str">
        <x:v>UNESCO: Teachers cannot be coded</x:v>
      </x:c>
      <x:c r="C23" s="4" t="str">
        <x:v>https://www.unesco.org/en/teachers-cannot-be-coded</x:v>
      </x:c>
      <x:c r="D23" s="4" t="str">
        <x:v>2025</x:v>
      </x:c>
      <x:c r="E23" s="4" t="str">
        <x:v>PRIMARY_RESEARCH_OR_OFFICIAL</x:v>
      </x:c>
      <x:c r="F23" s="4" t="str">
        <x:v>Institutional context on continuing human teachers, shortages and AI assistance. Normative guidance is not a statistical census of all learning hours.</x:v>
      </x:c>
    </x:row>
    <x:row r="24" ht="85" customHeight="1">
      <x:c r="A24" s="4" t="str">
        <x:v>N23</x:v>
      </x:c>
      <x:c r="B24" s="4" t="str">
        <x:v>BLS: Time use of millennials and nonmillennials</x:v>
      </x:c>
      <x:c r="C24" s="4" t="str">
        <x:v>https://www.bls.gov/opub/mlr/2019/article/time-use-of-millennials-and-nonmillennials.htm</x:v>
      </x:c>
      <x:c r="D24" s="4" t="str">
        <x:v>2019-10</x:v>
      </x:c>
      <x:c r="E24" s="4" t="str">
        <x:v>PRIMARY_RESEARCH_OR_OFFICIAL</x:v>
      </x:c>
      <x:c r="F24" s="4" t="str">
        <x:v>Time-use study separates work and educational activity. Does not fully count informal on-the-job learning, which is an interpretation limitation.</x:v>
      </x:c>
    </x:row>
    <x:row r="25" ht="85" customHeight="1">
      <x:c r="A25" s="4" t="str">
        <x:v>N24</x:v>
      </x:c>
      <x:c r="B25" s="4" t="str">
        <x:v>WHO: Global road safety progress remains insufficient</x:v>
      </x:c>
      <x:c r="C25" s="4" t="str">
        <x:v>https://www.who.int/news/item/13-12-2023-despite-notable-progress-road-safety-remains-urgent-global-issue</x:v>
      </x:c>
      <x:c r="D25" s="4" t="str">
        <x:v>2023-12-13</x:v>
      </x:c>
      <x:c r="E25" s="4" t="str">
        <x:v>PRIMARY_RESEARCH_OR_OFFICIAL</x:v>
      </x:c>
      <x:c r="F25" s="4" t="str">
        <x:v>2021 global annual road deaths 1.19 million; about 5% below 2010. These are observed-year figures, not invented 2026 counts.</x:v>
      </x:c>
    </x:row>
    <x:row r="26" ht="85" customHeight="1">
      <x:c r="A26" s="4" t="str">
        <x:v>N25</x:v>
      </x:c>
      <x:c r="B26" s="4" t="str">
        <x:v>Apple: Watch Series 4 health, ECG and fall detection</x:v>
      </x:c>
      <x:c r="C26" s="4" t="str">
        <x:v>https://www.apple.com/newsroom/2018/09/redesigned-apple-watch-series-4-revolutionizes-communication-fitness-and-health/</x:v>
      </x:c>
      <x:c r="D26" s="4" t="str">
        <x:v>2018-09-12</x:v>
      </x:c>
      <x:c r="E26" s="4" t="str">
        <x:v>PRIMARY_RESEARCH_OR_OFFICIAL</x:v>
      </x:c>
      <x:c r="F26" s="4" t="str">
        <x:v>ECG/AFib classification, hard-fall detection and emergency calling; ECG deployment corroborated by December 2018 release O22. Not diagnosis of all diseases or autonomous treatment.</x:v>
      </x:c>
    </x:row>
    <x:row r="27" ht="85" customHeight="1">
      <x:c r="A27" s="4" t="str">
        <x:v>N26</x:v>
      </x:c>
      <x:c r="B27" s="4" t="str">
        <x:v>Apple introduces GarageBand with iLife 04</x:v>
      </x:c>
      <x:c r="C27" s="4" t="str">
        <x:v>https://www.apple.com/newsroom/2004/01/06Apple-Announces-iLife-04/</x:v>
      </x:c>
      <x:c r="D27" s="4" t="str">
        <x:v>2004-01-06</x:v>
      </x:c>
      <x:c r="E27" s="4" t="str">
        <x:v>PRIMARY_RESEARCH_OR_OFFICIAL</x:v>
      </x:c>
      <x:c r="F27" s="4" t="str">
        <x:v>Primary institutional, research, or issuer source. Dates in the claim refer to the observation or product event, not the review date.</x:v>
      </x:c>
    </x:row>
    <x:row r="28" ht="85" customHeight="1">
      <x:c r="A28" s="4" t="str">
        <x:v>N27</x:v>
      </x:c>
      <x:c r="B28" s="4" t="str">
        <x:v>Christie’s: Human-machine art collaboration at auction</x:v>
      </x:c>
      <x:c r="C28" s="4" t="str">
        <x:v>https://www.christies.com/stories/a-collaboration-between-two-artists-one-human-one-a-machine-0cd01f4e232f4279a525a446d60d4cd1</x:v>
      </x:c>
      <x:c r="D28" s="4" t="str">
        <x:v>2018-10</x:v>
      </x:c>
      <x:c r="E28" s="4" t="str">
        <x:v>PRIMARY_RESEARCH_OR_OFFICIAL</x:v>
      </x:c>
      <x:c r="F28" s="4" t="str">
        <x:v>Obvious/GAN portrait sold October 2018 for $432,500. Supports serious institutional attention, not majority adoption by artists.</x:v>
      </x:c>
    </x:row>
    <x:row r="29" ht="85" customHeight="1">
      <x:c r="A29" s="4" t="str">
        <x:v>N28</x:v>
      </x:c>
      <x:c r="B29" s="4" t="str">
        <x:v>Research prototype for thermal and pressure haptics</x:v>
      </x:c>
      <x:c r="C29" s="4" t="str">
        <x:v>https://arxiv.org/abs/2508.20831</x:v>
      </x:c>
      <x:c r="D29" s="4" t="str">
        <x:v>2025-08</x:v>
      </x:c>
      <x:c r="E29" s="4" t="str">
        <x:v>PRIMARY_PREPRINT</x:v>
      </x:c>
      <x:c r="F29" s="4" t="str">
        <x:v>Local finger-scale multimodal haptics; not whole-body, all-sensation realism. Preprint status retained.</x:v>
      </x:c>
    </x:row>
    <x:row r="30" ht="85" customHeight="1">
      <x:c r="A30" s="4" t="str">
        <x:v>N29</x:v>
      </x:c>
      <x:c r="B30" s="4" t="str">
        <x:v>Medical microrobots: clinical translation review</x:v>
      </x:c>
      <x:c r="C30" s="4" t="str">
        <x:v>https://onlinelibrary.wiley.com/doi/10.1002/smb2.70030</x:v>
      </x:c>
      <x:c r="D30" s="4" t="str">
        <x:v>2026-03-07</x:v>
      </x:c>
      <x:c r="E30" s="4" t="str">
        <x:v>SCIENTIFIC_REVIEW</x:v>
      </x:c>
      <x:c r="F30" s="4" t="str">
        <x:v>Clinical translation, safety and manufacturing challenges; nanoparticles are not autonomous bloodstream repair robots.</x:v>
      </x:c>
    </x:row>
    <x:row r="31" ht="85" customHeight="1">
      <x:c r="A31" s="4" t="str">
        <x:v>N30</x:v>
      </x:c>
      <x:c r="B31" s="4" t="str">
        <x:v>US Census: Retail e-commerce, fourth quarter 2009</x:v>
      </x:c>
      <x:c r="C31" s="4" t="str">
        <x:v>https://www2.census.gov/historical/ecomm/09q4.html</x:v>
      </x:c>
      <x:c r="D31" s="4" t="str">
        <x:v>2010</x:v>
      </x:c>
      <x:c r="E31" s="4" t="str">
        <x:v>PRIMARY_RESEARCH_OR_OFFICIAL</x:v>
      </x:c>
      <x:c r="F31" s="4" t="str">
        <x:v>2009 retail e-commerce share about 3.7% by value. US consumer retail proxy, not all worldwide transactions or number of payments.</x:v>
      </x:c>
    </x:row>
    <x:row r="32" ht="85" customHeight="1">
      <x:c r="A32" s="4" t="str">
        <x:v>N31</x:v>
      </x:c>
      <x:c r="B32" s="4" t="str">
        <x:v>US Census: Quarterly retail e-commerce, 2026</x:v>
      </x:c>
      <x:c r="C32" s="4" t="str">
        <x:v>https://www.census.gov/retail/eCommerce.html</x:v>
      </x:c>
      <x:c r="D32" s="4" t="str">
        <x:v>2026-08-18</x:v>
      </x:c>
      <x:c r="E32" s="4" t="str">
        <x:v>PRIMARY_RESEARCH_OR_OFFICIAL</x:v>
      </x:c>
      <x:c r="F32" s="4" t="str">
        <x:v>Second quarter 2026 e-commerce share 17.1% of retail sales by value. Not B2B, securities trading, or a count of all transactions.</x:v>
      </x:c>
    </x:row>
    <x:row r="33" ht="85" customHeight="1">
      <x:c r="A33" s="4" t="str">
        <x:v>N32</x:v>
      </x:c>
      <x:c r="B33" s="4" t="str">
        <x:v>Folding@home: Distributed computing and pandemic peak</x:v>
      </x:c>
      <x:c r="C33" s="4" t="str">
        <x:v>https://foldingathome.org/science/folding</x:v>
      </x:c>
      <x:c r="D33" s="4"/>
      <x:c r="E33" s="4" t="str">
        <x:v>PRIMARY_RESEARCH_OR_OFFICIAL</x:v>
      </x:c>
      <x:c r="F33" s="4" t="str">
        <x:v>Project retrospectively reports 2.4 exaFLOPS peak in 2020; aggregate application throughput, not one shared-memory brain emulator or LINPACK score.</x:v>
      </x:c>
    </x:row>
    <x:row r="34" ht="85" customHeight="1">
      <x:c r="A34" s="4" t="str">
        <x:v>N33</x:v>
      </x:c>
      <x:c r="B34" s="4" t="str">
        <x:v>NCES: Teachers’ use of educational technology in 2009</x:v>
      </x:c>
      <x:c r="C34" s="4" t="str">
        <x:v>https://ies.ed.gov/use-work/resource-library/report/first-look-ed-tab/teachers-use-educational-technology-u-s-public-schools-2009</x:v>
      </x:c>
      <x:c r="D34" s="4" t="str">
        <x:v>2010-05</x:v>
      </x:c>
      <x:c r="E34" s="4" t="str">
        <x:v>PRIMARY_RESEARCH_OR_OFFICIAL</x:v>
      </x:c>
      <x:c r="F34" s="4" t="str">
        <x:v>Primary institutional, research, or issuer source. Dates in the claim refer to the observation or product event, not the review date.</x:v>
      </x:c>
    </x:row>
    <x:row r="35" ht="85" customHeight="1">
      <x:c r="A35" s="4" t="str">
        <x:v>N34</x:v>
      </x:c>
      <x:c r="B35" s="4" t="str">
        <x:v>HP: Dimension with Google Beam at InfoComm 2025</x:v>
      </x:c>
      <x:c r="C35" s="4" t="str">
        <x:v>https://www.hp.com/us-en/newsroom/press-releases/2025/hp-dimension-with-google-beam-at-infocomm-2025.html</x:v>
      </x:c>
      <x:c r="D35" s="4" t="str">
        <x:v>2025-06-11</x:v>
      </x:c>
      <x:c r="E35" s="4" t="str">
        <x:v>PRIMARY_RESEARCH_OR_OFFICIAL</x:v>
      </x:c>
      <x:c r="F35" s="4" t="str">
        <x:v>Enterprise light-field telepresence, six-camera capture. Launch/availability plan supports capability and commercialization, not routine calls or demonstrated above-human acuity.</x:v>
      </x:c>
    </x:row>
    <x:row r="36" ht="85" customHeight="1">
      <x:c r="A36" s="4" t="str">
        <x:v>N35</x:v>
      </x:c>
      <x:c r="B36" s="4" t="str">
        <x:v>Krizhevsky et al.: ImageNet Classification with Deep Convolutional Neural Networks</x:v>
      </x:c>
      <x:c r="C36" s="4" t="str">
        <x:v>https://papers.nips.cc/paper/4824-imagenet-classification-with-deep-convolutional-neural-networks</x:v>
      </x:c>
      <x:c r="D36" s="4" t="str">
        <x:v>2012</x:v>
      </x:c>
      <x:c r="E36" s="4" t="str">
        <x:v>PRIMARY_PAPER</x:v>
      </x:c>
      <x:c r="F36" s="4" t="str">
        <x:v>Primary institutional, research, or issuer source. Dates in the claim refer to the observation or product event, not the review date.</x:v>
      </x:c>
    </x:row>
    <x:row r="37" ht="85" customHeight="1">
      <x:c r="A37" s="4" t="str">
        <x:v>N36</x:v>
      </x:c>
      <x:c r="B37" s="4" t="str">
        <x:v>CERN: The birth of the Web</x:v>
      </x:c>
      <x:c r="C37" s="4" t="str">
        <x:v>https://home.cern/science/computing/the-birth-of-the-web/</x:v>
      </x:c>
      <x:c r="D37" s="4"/>
      <x:c r="E37" s="4" t="str">
        <x:v>PRIMARY_RESEARCH_OR_OFFICIAL</x:v>
      </x:c>
      <x:c r="F37" s="4" t="str">
        <x:v>Web invention in 1989 and subsequent 1990s development. Realization is established; this does not prove it was wholly novel to a 1990 forecaster.</x:v>
      </x:c>
    </x:row>
    <x:row r="38" ht="85" customHeight="1">
      <x:c r="A38" s="4" t="str">
        <x:v>N37</x:v>
      </x:c>
      <x:c r="B38" s="4" t="str">
        <x:v>Freedom House: Freedom on the Net 2025</x:v>
      </x:c>
      <x:c r="C38" s="4" t="str">
        <x:v>https://freedomhouse.org/article/new-report-persistent-authoritarian-repression-and-backsliding-democracies-drive-15th</x:v>
      </x:c>
      <x:c r="D38" s="4" t="str">
        <x:v>2025-11</x:v>
      </x:c>
      <x:c r="E38" s="4" t="str">
        <x:v>PRIMARY_RESEARCH_OR_OFFICIAL</x:v>
      </x:c>
      <x:c r="F38" s="4" t="str">
        <x:v>Original research on freedom online; supports a mixed information-access/control story, not a causal attribution of the Soviet collapse.</x:v>
      </x:c>
    </x:row>
    <x:row r="39" ht="85" customHeight="1">
      <x:c r="A39" s="4" t="str">
        <x:v>N38</x:v>
      </x:c>
      <x:c r="B39" s="4" t="str">
        <x:v>López-Otín et al.: The Hallmarks of Aging</x:v>
      </x:c>
      <x:c r="C39" s="4" t="str">
        <x:v>https://doi.org/10.1016/j.cell.2013.05.039</x:v>
      </x:c>
      <x:c r="D39" s="4" t="str">
        <x:v>2013-06-06</x:v>
      </x:c>
      <x:c r="E39" s="4" t="str">
        <x:v>SCIENTIFIC_REVIEW</x:v>
      </x:c>
      <x:c r="F39" s="4" t="str">
        <x:v>Nine tentative mechanistic hallmarks; progress and unresolved interactions both explicit. Mechanistic insight does not establish a cure for aging.</x:v>
      </x:c>
    </x:row>
    <x:row r="40" ht="85" customHeight="1">
      <x:c r="A40" s="4" t="str">
        <x:v>N39</x:v>
      </x:c>
      <x:c r="B40" s="4" t="str">
        <x:v>NCI/TCGA: Molecular classification of 10,000 tumors</x:v>
      </x:c>
      <x:c r="C40" s="4" t="str">
        <x:v>https://gdc.cancer.gov/about-data/publications/PanCan-CellOfOrigin</x:v>
      </x:c>
      <x:c r="D40" s="4" t="str">
        <x:v>2018-04-05</x:v>
      </x:c>
      <x:c r="E40" s="4" t="str">
        <x:v>PRIMARY_PAPER</x:v>
      </x:c>
      <x:c r="F40" s="4" t="str">
        <x:v>Pan-Cancer Atlas, 33 tumor types. Molecular classification is evidence of biological understanding, not complete causal explanation or universal treatment.</x:v>
      </x:c>
    </x:row>
    <x:row r="41" ht="85" customHeight="1">
      <x:c r="A41" s="4" t="str">
        <x:v>N40</x:v>
      </x:c>
      <x:c r="B41" s="4" t="str">
        <x:v>López-Otín et al.: Hallmarks of aging, an expanding universe</x:v>
      </x:c>
      <x:c r="C41" s="4" t="str">
        <x:v>https://pubmed.ncbi.nlm.nih.gov/36599349/</x:v>
      </x:c>
      <x:c r="D41" s="4" t="str">
        <x:v>2023-01-19</x:v>
      </x:c>
      <x:c r="E41" s="4" t="str">
        <x:v>SCIENTIFIC_REVIEW</x:v>
      </x:c>
      <x:c r="F41" s="4" t="str">
        <x:v>Expanded 12-hallmark framework. Shows progress and continued open mechanisms, not a complete model of human lifespan.</x:v>
      </x:c>
    </x:row>
    <x:row r="42" ht="85" customHeight="1">
      <x:c r="A42" s="4" t="str">
        <x:v>N41</x:v>
      </x:c>
      <x:c r="B42" s="4" t="str">
        <x:v>Paterson: Feel the Presence—Technologies of Touch and Distance</x:v>
      </x:c>
      <x:c r="C42" s="4" t="str">
        <x:v>https://journals.sagepub.com/doi/10.1068/d394t</x:v>
      </x:c>
      <x:c r="D42" s="4" t="str">
        <x:v>2006-10</x:v>
      </x:c>
      <x:c r="E42" s="4" t="str">
        <x:v>PRIMARY_SCHOLARLY_ANALYSIS</x:v>
      </x:c>
      <x:c r="F42" s="4" t="str">
        <x:v>Describes 2002 Boston–London virtual handshake and networked force feedback; supports emerging remote touch, not full-body realism.</x:v>
      </x:c>
    </x:row>
    <x:row r="43" ht="85" customHeight="1">
      <x:c r="A43" s="4" t="str">
        <x:v>N42</x:v>
      </x:c>
      <x:c r="B43" s="4" t="str">
        <x:v>Cisco announces acquisition of WebEx</x:v>
      </x:c>
      <x:c r="C43" s="4" t="str">
        <x:v>https://newsroom.cisco.com/c/r/newsroom/en/us/a/y2007/m03/cisco-announces-agreement-to-acquire-webex.html</x:v>
      </x:c>
      <x:c r="D43" s="4" t="str">
        <x:v>2007-03-15</x:v>
      </x:c>
      <x:c r="E43" s="4" t="str">
        <x:v>PRIMARY_RESEARCH_OR_OFFICIAL</x:v>
      </x:c>
      <x:c r="F43" s="4" t="str">
        <x:v>WebEx had more than 2.2 million registered users; evidence of established distributed collaboration, not most employees working from home.</x:v>
      </x:c>
    </x:row>
    <x:row r="44" ht="85" customHeight="1">
      <x:c r="A44" s="4" t="str">
        <x:v>N43</x:v>
      </x:c>
      <x:c r="B44" s="4" t="str">
        <x:v>Apple: iTunes U opens on the iTunes Store</x:v>
      </x:c>
      <x:c r="C44" s="4" t="str">
        <x:v>https://www.apple.com/newsroom/2007/05/30Apple-Announces-iTunes-U-on-the-iTunes-Store/</x:v>
      </x:c>
      <x:c r="D44" s="4" t="str">
        <x:v>2007-05-30</x:v>
      </x:c>
      <x:c r="E44" s="4" t="str">
        <x:v>PRIMARY_RESEARCH_OR_OFFICIAL</x:v>
      </x:c>
      <x:c r="F44" s="4" t="str">
        <x:v>Free lectures and educational material from major universities; Wi-Fi-capable computers establish wireless access but not wireless prevalence at every school.</x:v>
      </x:c>
    </x:row>
    <x:row r="45" ht="85" customHeight="1">
      <x:c r="A45" s="4" t="str">
        <x:v>N44</x:v>
      </x:c>
      <x:c r="B45" s="4" t="str">
        <x:v>Apple: iPhone X and Face ID</x:v>
      </x:c>
      <x:c r="C45" s="4" t="str">
        <x:v>https://www.apple.com/newsroom/2017/09/the-future-is-here-iphone-x/</x:v>
      </x:c>
      <x:c r="D45" s="4" t="str">
        <x:v>2017-09-12</x:v>
      </x:c>
      <x:c r="E45" s="4" t="str">
        <x:v>PRIMARY_RESEARCH_OR_OFFICIAL</x:v>
      </x:c>
      <x:c r="F45" s="4" t="str">
        <x:v>Announced September, retail availability November 3, 2017. Documented secure everyday owner recognition; not first-ever face recognition.</x:v>
      </x:c>
    </x:row>
    <x:row r="46" ht="85" customHeight="1">
      <x:c r="A46" s="4" t="str">
        <x:v>N45</x:v>
      </x:c>
      <x:c r="B46" s="4" t="str">
        <x:v>NCES: School technology support during COVID</x:v>
      </x:c>
      <x:c r="C46" s="4" t="str">
        <x:v>https://nces.ed.gov/surveys/annualreports/topical-studies/covid/theme/elementary-and-secondary-education-technology-support/</x:v>
      </x:c>
      <x:c r="D46" s="4" t="str">
        <x:v>2022</x:v>
      </x:c>
      <x:c r="E46" s="4" t="str">
        <x:v>PRIMARY_RESEARCH_OR_OFFICIAL</x:v>
      </x:c>
      <x:c r="F46" s="4" t="str">
        <x:v>96% of public schools provided devices to students who needed them by 2021–22; 23% assigned take-home devices to all students before COVID. Not proof every student owned a sub-pound tablet.</x:v>
      </x:c>
    </x:row>
    <x:row r="47" ht="85" customHeight="1">
      <x:c r="A47" s="4" t="str">
        <x:v>N46</x:v>
      </x:c>
      <x:c r="B47" s="4" t="str">
        <x:v>Microsoft Teams reaches 13 million daily active users</x:v>
      </x:c>
      <x:c r="C47" s="4" t="str">
        <x:v>https://www.microsoft.com/en-us/microsoft-365/blog/2019/07/11/microsoft-teams-reaches-13-million-daily-active-users-introduces-4-new-ways-for-teams-to-work-better-together/</x:v>
      </x:c>
      <x:c r="D47" s="4" t="str">
        <x:v>2019-07-11</x:v>
      </x:c>
      <x:c r="E47" s="4" t="str">
        <x:v>PRIMARY_RESEARCH_OR_OFFICIAL</x:v>
      </x:c>
      <x:c r="F47" s="4" t="str">
        <x:v>Primary institutional, research, or issuer source. Dates in the claim refer to the observation or product event, not the review date.</x:v>
      </x:c>
    </x:row>
    <x:row r="48" ht="85" customHeight="1">
      <x:c r="A48" s="4" t="str">
        <x:v>N48</x:v>
      </x:c>
      <x:c r="B48" s="4" t="str">
        <x:v>Glasser et al.: A multi-modal parcellation of human cerebral cortex</x:v>
      </x:c>
      <x:c r="C48" s="4" t="str">
        <x:v>https://www.nature.com/articles/nature18933</x:v>
      </x:c>
      <x:c r="D48" s="4" t="str">
        <x:v>2016-07-20</x:v>
      </x:c>
      <x:c r="E48" s="4" t="str">
        <x:v>PRIMARY_PAPER</x:v>
      </x:c>
      <x:c r="F48" s="4" t="str">
        <x:v>180 cortical areas per hemisphere; direct evidence of improved regional brain understanding, not whole-brain functional reconstruction.</x:v>
      </x:c>
    </x:row>
    <x:row r="49" ht="85" customHeight="1">
      <x:c r="A49" s="4" t="str">
        <x:v>N52</x:v>
      </x:c>
      <x:c r="B49" s="4" t="str">
        <x:v>iRobot: More than five million home robots sold</x:v>
      </x:c>
      <x:c r="C49" s="4" t="str">
        <x:v>https://investor.irobot.com/news-releases/news-release-details/irobot-achieves-milestone-home-robot-market</x:v>
      </x:c>
      <x:c r="D49" s="4" t="str">
        <x:v>2010-01-05</x:v>
      </x:c>
      <x:c r="E49" s="4" t="str">
        <x:v>PRIMARY_RESEARCH_OR_OFFICIAL</x:v>
      </x:c>
      <x:c r="F49" s="4" t="str">
        <x:v>January 2010 retrospective on robots launched in 2002 and already commercially established in the 2000s; do not shift the threshold by one year just because the tally was announced in January.</x:v>
      </x:c>
    </x:row>
    <x:row r="50" ht="85" customHeight="1">
      <x:c r="A50" s="4" t="str">
        <x:v>N53</x:v>
      </x:c>
      <x:c r="B50" s="4" t="str">
        <x:v>Gartner: Worldwide smartphone sales in 2013</x:v>
      </x:c>
      <x:c r="C50" s="4" t="str">
        <x:v>https://www.pressebox.com/pressrelease/gartner-uk-ltd/Gartner-Says-Annual-Smartphone-Sales-Surpassed-Sales-of-Feature-Phones-for-the-First-Time-in-2013/boxid/658123</x:v>
      </x:c>
      <x:c r="D50" s="4" t="str">
        <x:v>2014-02-13</x:v>
      </x:c>
      <x:c r="E50" s="4" t="str">
        <x:v>ISSUER_RELEASE_SYNDICATED</x:v>
      </x:c>
      <x:c r="F50" s="4" t="str">
        <x:v>968 million smartphones; Android plus iOS dominated. Inferring physical-keyboard-free portable computing requires a population definition, not simply counting all feature phones.</x:v>
      </x:c>
    </x:row>
    <x:row r="51" ht="85" customHeight="1">
      <x:c r="A51" s="4" t="str">
        <x:v>N54</x:v>
      </x:c>
      <x:c r="B51" s="4" t="str">
        <x:v>AMD: 2008 teraFLOPS graphics launch, issuer release reproduced</x:v>
      </x:c>
      <x:c r="C51" s="4" t="str">
        <x:v>https://xtremehardware.com/news/1524-amd-introduce-il-primo-chip-grafico-al-mondo-di-classe-teraflops</x:v>
      </x:c>
      <x:c r="D51" s="4" t="str">
        <x:v>2008-06-26</x:v>
      </x:c>
      <x:c r="E51" s="4" t="str">
        <x:v>ISSUER_RELEASE_SYNDICATED</x:v>
      </x:c>
      <x:c r="F51" s="4" t="str">
        <x:v>Italian reproduction of AMD June 25 release: HD 4850/4870 availability, FP32 peak and $199/$299 suggested prices. An editor-inferred sub-$1000 PC budget is not a measured whole-system benchmark.</x:v>
      </x:c>
    </x:row>
    <x:row r="52" ht="85" customHeight="1">
      <x:c r="A52" s="4" t="str">
        <x:v>N55</x:v>
      </x:c>
      <x:c r="B52" s="4" t="str">
        <x:v>Google: Agent Payments Protocol AP2</x:v>
      </x:c>
      <x:c r="C52" s="4" t="str">
        <x:v>https://cloud.google.com/blog/products/ai-machine-learning/announcing-agents-to-payments-ap2-protocol</x:v>
      </x:c>
      <x:c r="D52" s="4" t="str">
        <x:v>2025-09-16</x:v>
      </x:c>
      <x:c r="E52" s="4" t="str">
        <x:v>PRIMARY_RESEARCH_OR_OFFICIAL</x:v>
      </x:c>
      <x:c r="F52" s="4" t="str">
        <x:v>Protocol and reference implementations; not evidence most real-world transactions use simulated people.</x:v>
      </x:c>
    </x:row>
    <x:row r="53" ht="85" customHeight="1">
      <x:c r="A53" s="4" t="str">
        <x:v>N56</x:v>
      </x:c>
      <x:c r="B53" s="4" t="str">
        <x:v>Google Cloud and PayPal: Agentic commerce solution</x:v>
      </x:c>
      <x:c r="C53" s="4" t="str">
        <x:v>https://cloud.google.com/blog/topics/financial-services/introducing-an-agentic-commerce-solution-for-merchants-from-paypal-and-google-cloud</x:v>
      </x:c>
      <x:c r="D53" s="4" t="str">
        <x:v>2025-10-27</x:v>
      </x:c>
      <x:c r="E53" s="4" t="str">
        <x:v>PRIMARY_RESEARCH_OR_OFFICIAL</x:v>
      </x:c>
      <x:c r="F53" s="4" t="str">
        <x:v>Commercial offering and agent interaction architecture. No market-wide transaction-share denominator supplied.</x:v>
      </x:c>
    </x:row>
    <x:row r="54" ht="85" customHeight="1">
      <x:c r="A54" s="4" t="str">
        <x:v>N57</x:v>
      </x:c>
      <x:c r="B54" s="4" t="str">
        <x:v>Apple: Third-generation AirPods spatial audio</x:v>
      </x:c>
      <x:c r="C54" s="4" t="str">
        <x:v>https://www.apple.com/newsroom/2021/10/introducing-the-next-generation-of-airpods/</x:v>
      </x:c>
      <x:c r="D54" s="4" t="str">
        <x:v>2021-10-18</x:v>
      </x:c>
      <x:c r="E54" s="4" t="str">
        <x:v>PRIMARY_RESEARCH_OR_OFFICIAL</x:v>
      </x:c>
      <x:c r="F54" s="4" t="str">
        <x:v>Retail availability October 26, 2021; small earbuds with dynamic head-tracked spatial audio. Establishes a documented-by year, not the first such device.</x:v>
      </x:c>
    </x:row>
    <x:row r="55" ht="85" customHeight="1">
      <x:c r="A55" s="4" t="str">
        <x:v>N58</x:v>
      </x:c>
      <x:c r="B55" s="4" t="str">
        <x:v>IEA: Global Energy Review 2026, electricity supply</x:v>
      </x:c>
      <x:c r="C55" s="4" t="str">
        <x:v>https://www.iea.org/reports/global-energy-review-2026/electricity-supply</x:v>
      </x:c>
      <x:c r="D55" s="4" t="str">
        <x:v>2026-04-20</x:v>
      </x:c>
      <x:c r="E55" s="4" t="str">
        <x:v>PRIMARY_RESEARCH_OR_OFFICIAL</x:v>
      </x:c>
      <x:c r="F55" s="4" t="str">
        <x:v>2025 generation: renewables 34%, coal 34%, natural gas 21%. Capacity and generation are not interchangeable.</x:v>
      </x:c>
    </x:row>
    <x:row r="56" ht="85" customHeight="1">
      <x:c r="A56" s="4" t="str">
        <x:v>N59</x:v>
      </x:c>
      <x:c r="B56" s="4" t="str">
        <x:v>IEA: Global Energy Review 2026, global trends</x:v>
      </x:c>
      <x:c r="C56" s="4" t="str">
        <x:v>https://www.iea.org/reports/global-energy-review-2026/global-trends</x:v>
      </x:c>
      <x:c r="D56" s="4" t="str">
        <x:v>2026-04-20</x:v>
      </x:c>
      <x:c r="E56" s="4" t="str">
        <x:v>PRIMARY_RESEARCH_OR_OFFICIAL</x:v>
      </x:c>
      <x:c r="F56" s="4" t="str">
        <x:v>2025 solar PV generation nearly 2,700 TWh, over 8% of electricity. Growth contribution does not mean share of all energy.</x:v>
      </x:c>
    </x:row>
    <x:row r="57" ht="85" customHeight="1">
      <x:c r="A57" s="4" t="str">
        <x:v>N60</x:v>
      </x:c>
      <x:c r="B57" s="4" t="str">
        <x:v>Hinton, Osindero and Teh: Fast learning for deep belief nets</x:v>
      </x:c>
      <x:c r="C57" s="4" t="str">
        <x:v>https://pubmed.ncbi.nlm.nih.gov/16764513/</x:v>
      </x:c>
      <x:c r="D57" s="4" t="str">
        <x:v>2006-07</x:v>
      </x:c>
      <x:c r="E57" s="4" t="str">
        <x:v>PRIMARY_PAPER</x:v>
      </x:c>
      <x:c r="F57" s="4" t="str">
        <x:v>Primary institutional, research, or issuer source. Dates in the claim refer to the observation or product event, not the review date.</x:v>
      </x:c>
    </x:row>
    <x:row r="58" ht="85" customHeight="1">
      <x:c r="A58" s="4" t="str">
        <x:v>N61</x:v>
      </x:c>
      <x:c r="B58" s="4" t="str">
        <x:v>ITU: Global Internet use, 2025</x:v>
      </x:c>
      <x:c r="C58" s="4" t="str">
        <x:v>https://www.itu.int/en/ITU-D/Statistics/Pages/stat/default.aspx</x:v>
      </x:c>
      <x:c r="D58" s="4" t="str">
        <x:v>2025</x:v>
      </x:c>
      <x:c r="E58" s="4" t="str">
        <x:v>PRIMARY_RESEARCH_OR_OFFICIAL</x:v>
      </x:c>
      <x:c r="F58" s="4" t="str">
        <x:v>About 6 billion users (74%) in 2025, with 2.2 billion offline. The latest observed year is 2025, not 2026.</x:v>
      </x:c>
    </x:row>
    <x:row r="59" ht="85" customHeight="1">
      <x:c r="A59" s="4" t="str">
        <x:v>N62</x:v>
      </x:c>
      <x:c r="B59" s="4" t="str">
        <x:v>Atala et al.: Tissue-engineered bladder reconstruction</x:v>
      </x:c>
      <x:c r="C59" s="4" t="str">
        <x:v>https://pubmed.ncbi.nlm.nih.gov/16631879/</x:v>
      </x:c>
      <x:c r="D59" s="4" t="str">
        <x:v>2006-04-15</x:v>
      </x:c>
      <x:c r="E59" s="4" t="str">
        <x:v>PRIMARY_PAPER</x:v>
      </x:c>
      <x:c r="F59" s="4" t="str">
        <x:v>Seven-patient study of implanted engineered bladder tissue for reconstruction. Not transplantation of complete replacement kidneys, hearts, or every organ.</x:v>
      </x:c>
    </x:row>
    <x:row r="60" ht="85" customHeight="1">
      <x:c r="A60" s="4" t="str">
        <x:v>N63</x:v>
      </x:c>
      <x:c r="B60" s="4" t="str">
        <x:v>MakerBot Replicator launch release, reproduced by WIRED</x:v>
      </x:c>
      <x:c r="C60" s="4" t="str">
        <x:v>https://www.wired.com/2012/01/the-makerbot-replicatortm/</x:v>
      </x:c>
      <x:c r="D60" s="4" t="str">
        <x:v>2012-01-10</x:v>
      </x:c>
      <x:c r="E60" s="4" t="str">
        <x:v>ISSUER_RELEASE_REPRODUCED</x:v>
      </x:c>
      <x:c r="F60" s="4" t="str">
        <x:v>The page identifies and reproduces a MakerBot press release for a ready-to-use personal desktop printer. Editorial bracketed comments are not used as technical evidence.</x:v>
      </x:c>
    </x:row>
    <x:row r="61" ht="85" customHeight="1">
      <x:c r="A61" s="4" t="str">
        <x:v>N64</x:v>
      </x:c>
      <x:c r="B61" s="4" t="str">
        <x:v>PMA/GfK camera market table reproduced by DPReview</x:v>
      </x:c>
      <x:c r="C61" s="4" t="str">
        <x:v>https://www.dpreview.com/articles/5474101424/pmaresearch2003sales/</x:v>
      </x:c>
      <x:c r="D61" s="4" t="str">
        <x:v>2004-01-26</x:v>
      </x:c>
      <x:c r="E61" s="4" t="str">
        <x:v>MARKET_RESEARCH_TABLE_REPRODUCED</x:v>
      </x:c>
      <x:c r="F61" s="4" t="str">
        <x:v>2000 worldwide digital 11m versus analog 71m. November-2003 projections digital 50m versus analog 57m; do not falsely declare a worldwide crossover in 2003 from US-only figures.</x:v>
      </x:c>
    </x:row>
    <x:row r="62" ht="85" customHeight="1">
      <x:c r="A62" s="4" t="str">
        <x:v>N65</x:v>
      </x:c>
      <x:c r="B62" s="4" t="str">
        <x:v>Canon: 2026 digital imaging system and market release</x:v>
      </x:c>
      <x:c r="C62" s="4" t="str">
        <x:v>https://global.canon/en/news/2026/20260224.html</x:v>
      </x:c>
      <x:c r="D62" s="4" t="str">
        <x:v>2026-02-24</x:v>
      </x:c>
      <x:c r="E62" s="4" t="str">
        <x:v>PRIMARY_RESEARCH_OR_OFFICIAL</x:v>
      </x:c>
      <x:c r="F62" s="4" t="str">
        <x:v>Current mainstream digital imaging and interchangeable optical lenses. Supports the present digital-camera ecosystem and persistence of lenses, not an exact historic film crossover year.</x:v>
      </x:c>
    </x:row>
    <x:row r="63" ht="85" customHeight="1">
      <x:c r="A63" s="4" t="str">
        <x:v>N66</x:v>
      </x:c>
      <x:c r="B63" s="4" t="str">
        <x:v>Pew: Print remains ahead of e-books in 2025 survey</x:v>
      </x:c>
      <x:c r="C63" s="4" t="str">
        <x:v>https://www.pewresearch.org/short-reads/2026/04/09/americans-still-opt-for-print-books-over-digital-or-audio-versions-few-are-in-book-clubs/</x:v>
      </x:c>
      <x:c r="D63" s="4" t="str">
        <x:v>2026-04-09</x:v>
      </x:c>
      <x:c r="E63" s="4" t="str">
        <x:v>PRIMARY_RESEARCH_OR_OFFICIAL</x:v>
      </x:c>
      <x:c r="F63" s="4" t="str">
        <x:v>2025 survey: print-readership 64%, e-book readership 31%, audiobook 26%. Reader penetration is not the number of books read or worldwide market share.</x:v>
      </x:c>
    </x:row>
    <x:row r="64" ht="85" customHeight="1">
      <x:c r="A64" s="4" t="str">
        <x:v>N67</x:v>
      </x:c>
      <x:c r="B64" s="4" t="str">
        <x:v>US Navy: 2014 shipboard laser demonstrations</x:v>
      </x:c>
      <x:c r="C64" s="4" t="str">
        <x:v>https://www.navy.mil/Press-Office/Press-Releases/display-pressreleases/Article/2262668/nswc-dahlgren-laser-weapon-system-team-wins-2014-top-navy-scientists-and-engine/</x:v>
      </x:c>
      <x:c r="D64" s="4" t="str">
        <x:v>2015</x:v>
      </x:c>
      <x:c r="E64" s="4" t="str">
        <x:v>PRIMARY_RESEARCH_OR_OFFICIAL</x:v>
      </x:c>
      <x:c r="F64" s="4" t="str">
        <x:v>Official retrospective on 2014 operational shipboard laser demonstrations against boats and a UAV. Does not establish particle-beam weapons or laser dominance.</x:v>
      </x:c>
    </x:row>
    <x:row r="65" ht="85" customHeight="1">
      <x:c r="A65" s="4" t="str">
        <x:v>N68</x:v>
      </x:c>
      <x:c r="B65" s="4" t="str">
        <x:v>Google Books: 15-year retrospective</x:v>
      </x:c>
      <x:c r="C65" s="4" t="str">
        <x:v>https://blog.google/products-and-platforms/products/search/15-years-google-books/</x:v>
      </x:c>
      <x:c r="D65" s="4" t="str">
        <x:v>2019-10-17</x:v>
      </x:c>
      <x:c r="E65" s="4" t="str">
        <x:v>PRIMARY_RESEARCH_OR_OFFICIAL</x:v>
      </x:c>
      <x:c r="F65" s="4" t="str">
        <x:v>Discoverable collection exceeding 40 million books in 2019. Not evidence that most paper ever produced has been scanned, or that every listed book is completely scanned.</x:v>
      </x:c>
    </x:row>
    <x:row r="66" ht="85" customHeight="1">
      <x:c r="A66" s="4" t="str">
        <x:v>N69</x:v>
      </x:c>
      <x:c r="B66" s="4" t="str">
        <x:v>RIAA: 2026 reports archive and revenue summary</x:v>
      </x:c>
      <x:c r="C66" s="4" t="str">
        <x:v>https://www.riaa.com/reports/</x:v>
      </x:c>
      <x:c r="D66" s="4" t="str">
        <x:v>2026-09-01</x:v>
      </x:c>
      <x:c r="E66" s="4" t="str">
        <x:v>PRIMARY_RESEARCH_OR_OFFICIAL</x:v>
      </x:c>
      <x:c r="F66" s="4" t="str">
        <x:v>First-half 2026 streaming accounted for 82% of US recorded-music revenue. CD sales still exist; dominant replacement need not mean eradication.</x:v>
      </x:c>
    </x:row>
    <x:row r="67" ht="85" customHeight="1">
      <x:c r="A67" s="4" t="str">
        <x:v>N70</x:v>
      </x:c>
      <x:c r="B67" s="4" t="str">
        <x:v>ITU: Facts and Figures 2010</x:v>
      </x:c>
      <x:c r="C67" s="4" t="str">
        <x:v>https://www.itu.int/ITU-D/ict/material/FactsFigures2010.pdf</x:v>
      </x:c>
      <x:c r="D67" s="4" t="str">
        <x:v>2010</x:v>
      </x:c>
      <x:c r="E67" s="4" t="str">
        <x:v>PRIMARY_RESEARCH_OR_OFFICIAL</x:v>
      </x:c>
      <x:c r="F67" s="4" t="str">
        <x:v>Text states Internet users doubled between 2005 and 2010; 2010 estimate exceeds two billion. Historical growth evidence, not an exact 2009 endpoint.</x:v>
      </x:c>
    </x:row>
    <x:row r="68" ht="85" customHeight="1">
      <x:c r="A68" s="4" t="str">
        <x:v>N71</x:v>
      </x:c>
      <x:c r="B68" s="4" t="str">
        <x:v>Apple: Live Translation shipping in iOS 26</x:v>
      </x:c>
      <x:c r="C68" s="4" t="str">
        <x:v>https://www.apple.com/ci/newsroom/2025/09/new-apple-intelligence-features-are-available-today/</x:v>
      </x:c>
      <x:c r="D68" s="4" t="str">
        <x:v>2025-09-15</x:v>
      </x:c>
      <x:c r="E68" s="4" t="str">
        <x:v>PRIMARY_RESEARCH_OR_OFFICIAL</x:v>
      </x:c>
      <x:c r="F68" s="4" t="str">
        <x:v>Shipping real-time spoken translation in Phone for selected language pairs; five languages at initial launch. Not every language, country or device.</x:v>
      </x:c>
    </x:row>
    <x:row r="69" ht="85" customHeight="1">
      <x:c r="A69" s="4" t="str">
        <x:v>N72</x:v>
      </x:c>
      <x:c r="B69" s="4" t="str">
        <x:v>Apple: Translate phone calls and conversations</x:v>
      </x:c>
      <x:c r="C69" s="4" t="str">
        <x:v>https://support.apple.com/is-is/guide/iphone/iph22b72984d/26/ios/26</x:v>
      </x:c>
      <x:c r="D69" s="4"/>
      <x:c r="E69" s="4" t="str">
        <x:v>PRIMARY_RESEARCH_OR_OFFICIAL</x:v>
      </x:c>
      <x:c r="F69" s="4" t="str">
        <x:v>Current iOS 26 guide lists one-on-one spoken Phone translation across English, French, German, Italian, Portuguese, Spanish, Chinese, Japanese and Korean variants. Supports actual telephone integration, not perfect translation quality.</x:v>
      </x:c>
    </x:row>
    <x:row r="70" ht="85" customHeight="1">
      <x:c r="A70" s="4" t="str">
        <x:v>O01</x:v>
      </x:c>
      <x:c r="B70" s="4" t="str">
        <x:v>IBM — Deep Blue</x:v>
      </x:c>
      <x:c r="C70" s="4" t="str">
        <x:v>https://www.ibm.com/history/deep-blue</x:v>
      </x:c>
      <x:c r="D70" s="4"/>
      <x:c r="E70" s="4" t="str">
        <x:v>PRIMARY_INSTITUTIONAL_HISTORY</x:v>
      </x:c>
      <x:c r="F70" s="4" t="str">
        <x:v>Documents the 1997 match victory; not proof of the original date or wording of Kurzweil’s forecast.</x:v>
      </x:c>
    </x:row>
    <x:row r="71" ht="85" customHeight="1">
      <x:c r="A71" s="4" t="str">
        <x:v>O02</x:v>
      </x:c>
      <x:c r="B71" s="4" t="str">
        <x:v>Apple unveils new PowerBook</x:v>
      </x:c>
      <x:c r="C71" s="4" t="str">
        <x:v>https://www.apple.com/newsroom/2000/02/16Apple-Unveils-New-PowerBook-The-Fastest-Portable-Ever/</x:v>
      </x:c>
      <x:c r="D71" s="4" t="str">
        <x:v>2000-02-16</x:v>
      </x:c>
      <x:c r="E71" s="4" t="str">
        <x:v>PRIMARY_PRODUCT_RELEASE</x:v>
      </x:c>
      <x:c r="F71" s="4" t="str"/>
    </x:row>
    <x:row r="72" ht="85" customHeight="1">
      <x:c r="A72" s="4" t="str">
        <x:v>O03</x:v>
      </x:c>
      <x:c r="B72" s="4" t="str">
        <x:v>Apple introduces MacBook Air</x:v>
      </x:c>
      <x:c r="C72" s="4" t="str">
        <x:v>https://www.apple.com/newsroom/2008/01/15Apple-Introduces-MacBook-Air-The-Worlds-Thinnest-Notebook/</x:v>
      </x:c>
      <x:c r="D72" s="4" t="str">
        <x:v>2008-01-15</x:v>
      </x:c>
      <x:c r="E72" s="4" t="str">
        <x:v>PRIMARY_PRODUCT_RELEASE</x:v>
      </x:c>
      <x:c r="F72" s="4" t="str"/>
    </x:row>
    <x:row r="73" ht="85" customHeight="1">
      <x:c r="A73" s="4" t="str">
        <x:v>O04</x:v>
      </x:c>
      <x:c r="B73" s="4" t="str">
        <x:v>Apple unveils one-inch-thick Titanium PowerBook G4</x:v>
      </x:c>
      <x:c r="C73" s="4" t="str">
        <x:v>https://www.apple.com/newsroom/2001/01/09Apple-Unveils-One-Inch-Thick-Titanium-PowerBook-G4/</x:v>
      </x:c>
      <x:c r="D73" s="4" t="str">
        <x:v>2001-01-09</x:v>
      </x:c>
      <x:c r="E73" s="4" t="str">
        <x:v>PRIMARY_PRODUCT_RELEASE</x:v>
      </x:c>
      <x:c r="F73" s="4" t="str"/>
    </x:row>
    <x:row r="74" ht="85" customHeight="1">
      <x:c r="A74" s="4" t="str">
        <x:v>O05</x:v>
      </x:c>
      <x:c r="B74" s="4" t="str">
        <x:v>Introducing Amazon Kindle</x:v>
      </x:c>
      <x:c r="C74" s="4" t="str">
        <x:v>https://press.aboutamazon.com/2007/11/introducing-amazon-kindle</x:v>
      </x:c>
      <x:c r="D74" s="4" t="str">
        <x:v>2007-11-19</x:v>
      </x:c>
      <x:c r="E74" s="4" t="str">
        <x:v>PRIMARY_PRODUCT_RELEASE</x:v>
      </x:c>
      <x:c r="F74" s="4" t="str"/>
    </x:row>
    <x:row r="75" ht="85" customHeight="1">
      <x:c r="A75" s="4" t="str">
        <x:v>O06</x:v>
      </x:c>
      <x:c r="B75" s="4" t="str">
        <x:v>iTunes Store tops over five billion songs sold</x:v>
      </x:c>
      <x:c r="C75" s="4" t="str">
        <x:v>https://www.apple.com/newsroom/2008/06/19iTunes-Store-Tops-Over-Five-Billion-Songs-Sold/</x:v>
      </x:c>
      <x:c r="D75" s="4" t="str">
        <x:v>2008-06-19</x:v>
      </x:c>
      <x:c r="E75" s="4" t="str">
        <x:v>PRIMARY_PRODUCT_RELEASE</x:v>
      </x:c>
      <x:c r="F75" s="4" t="str"/>
    </x:row>
    <x:row r="76" ht="85" customHeight="1">
      <x:c r="A76" s="4" t="str">
        <x:v>O07</x:v>
      </x:c>
      <x:c r="B76" s="4" t="str">
        <x:v>iPhone App Store downloads top 10 million</x:v>
      </x:c>
      <x:c r="C76" s="4" t="str">
        <x:v>https://www.apple.com/newsroom/2008/07/14iPhone-App-Store-Downloads-Top-10-Million-in-First-Weekend/</x:v>
      </x:c>
      <x:c r="D76" s="4" t="str">
        <x:v>2008-07-14</x:v>
      </x:c>
      <x:c r="E76" s="4" t="str">
        <x:v>PRIMARY_PRODUCT_RELEASE</x:v>
      </x:c>
      <x:c r="F76" s="4" t="str"/>
    </x:row>
    <x:row r="77" ht="85" customHeight="1">
      <x:c r="A77" s="4" t="str">
        <x:v>O08</x:v>
      </x:c>
      <x:c r="B77" s="4" t="str">
        <x:v>Apple introduces wireless keyboard and mouse</x:v>
      </x:c>
      <x:c r="C77" s="4" t="str">
        <x:v>https://www.apple.com/ca/newsroom/2003/09/16Apple-Introduces-Wireless-Keyboard-Mouse/</x:v>
      </x:c>
      <x:c r="D77" s="4" t="str">
        <x:v>2003-09-16</x:v>
      </x:c>
      <x:c r="E77" s="4" t="str">
        <x:v>PRIMARY_PRODUCT_RELEASE</x:v>
      </x:c>
      <x:c r="F77" s="4" t="str"/>
    </x:row>
    <x:row r="78" ht="85" customHeight="1">
      <x:c r="A78" s="4" t="str">
        <x:v>O09</x:v>
      </x:c>
      <x:c r="B78" s="4" t="str">
        <x:v>Wireless Internet Use — Pew Research Center</x:v>
      </x:c>
      <x:c r="C78" s="4" t="str">
        <x:v>https://www.pewresearch.org/internet/2009/07/22/wireless-internet-use/</x:v>
      </x:c>
      <x:c r="D78" s="4" t="str">
        <x:v>2009-07-22</x:v>
      </x:c>
      <x:c r="E78" s="4" t="str">
        <x:v>PRIMARY_SURVEY</x:v>
      </x:c>
      <x:c r="F78" s="4" t="str">
        <x:v>US adult survey. Ever-used wireless access is not a majority-of-traffic measure and is not global coverage.</x:v>
      </x:c>
    </x:row>
    <x:row r="79" ht="85" customHeight="1">
      <x:c r="A79" s="4" t="str">
        <x:v>O10</x:v>
      </x:c>
      <x:c r="B79" s="4" t="str">
        <x:v>Apple launches iPhone 4S, iOS 5 and iCloud</x:v>
      </x:c>
      <x:c r="C79" s="4" t="str">
        <x:v>https://www.apple.com/newsroom/2011/10/04Apple-Launches-iPhone-4S-iOS-5-iCloud/</x:v>
      </x:c>
      <x:c r="D79" s="4" t="str">
        <x:v>2011-10-04</x:v>
      </x:c>
      <x:c r="E79" s="4" t="str">
        <x:v>PRIMARY_PRODUCT_RELEASE</x:v>
      </x:c>
      <x:c r="F79" s="4" t="str">
        <x:v>Announcement; retail availability October 14. This is NOT the first-ever voice assistant, nor the first standalone Siri release.</x:v>
      </x:c>
    </x:row>
    <x:row r="80" ht="85" customHeight="1">
      <x:c r="A80" s="4" t="str">
        <x:v>O11</x:v>
      </x:c>
      <x:c r="B80" s="4" t="str">
        <x:v>How do you say? — Carnegie Mellon on Jibbigo</x:v>
      </x:c>
      <x:c r="C80" s="4" t="str">
        <x:v>https://www.cmu.edu/homepage/society/2009/fall/how-do-you-say.shtml</x:v>
      </x:c>
      <x:c r="D80" s="4" t="str">
        <x:v>2009</x:v>
      </x:c>
      <x:c r="E80" s="4" t="str">
        <x:v>PRIMARY_RESEARCHER_PRODUCT_ACCOUNT</x:v>
      </x:c>
      <x:c r="F80" s="4" t="str">
        <x:v>Fall 2009 university account of English–Spanish speech translation on iPhone. Not evidence of common use across many language pairs.</x:v>
      </x:c>
    </x:row>
    <x:row r="81" ht="85" customHeight="1">
      <x:c r="A81" s="4" t="str">
        <x:v>O12</x:v>
      </x:c>
      <x:c r="B81" s="4" t="str">
        <x:v>Start a conversation with Google</x:v>
      </x:c>
      <x:c r="C81" s="4" t="str">
        <x:v>https://translate.googleblog.com/2011/10/start-conversation-with-google.html</x:v>
      </x:c>
      <x:c r="D81" s="4" t="str">
        <x:v>2011-10-13</x:v>
      </x:c>
      <x:c r="E81" s="4" t="str">
        <x:v>PRIMARY_PRODUCT_RELEASE</x:v>
      </x:c>
      <x:c r="F81" s="4" t="str">
        <x:v>Speech conversation mode expanded to 14 languages; still described as alpha. Not equivalent to translation quality or universal adoption.</x:v>
      </x:c>
    </x:row>
    <x:row r="82" ht="85" customHeight="1">
      <x:c r="A82" s="4" t="str">
        <x:v>O13</x:v>
      </x:c>
      <x:c r="B82" s="4" t="str">
        <x:v>Excerpts of the President’s address to the nation</x:v>
      </x:c>
      <x:c r="C82" s="4" t="str">
        <x:v>https://obamawhitehouse.archives.gov/the-press-office/excerpts-presidents-address-nation</x:v>
      </x:c>
      <x:c r="D82" s="4" t="str">
        <x:v>2009-12-01</x:v>
      </x:c>
      <x:c r="E82" s="4" t="str">
        <x:v>PRIMARY_GOVERNMENT_RECORD</x:v>
      </x:c>
      <x:c r="F82" s="4" t="str">
        <x:v>Describes active human fighting and plans for 30,000 additional US troops in Afghanistan in early 2010. Do not date those additional deployments to 2009.</x:v>
      </x:c>
    </x:row>
    <x:row r="83" ht="85" customHeight="1">
      <x:c r="A83" s="4" t="str">
        <x:v>O14</x:v>
      </x:c>
      <x:c r="B83" s="4" t="str">
        <x:v>Automated Vehicle Safety — NHTSA</x:v>
      </x:c>
      <x:c r="C83" s="4" t="str">
        <x:v>https://www.nhtsa.gov/vehicle-safety/automated-vehicle-safety</x:v>
      </x:c>
      <x:c r="D83" s="4"/>
      <x:c r="E83" s="4" t="str">
        <x:v>PRIMARY_REGULATOR_GUIDANCE</x:v>
      </x:c>
      <x:c r="F83" s="4" t="str">
        <x:v>Live guidance checked for this review. Describes limited operating areas for automated fleets and driver-attention requirements of consumer vehicles; not a historical 2009 market census.</x:v>
      </x:c>
    </x:row>
    <x:row r="84" ht="85" customHeight="1">
      <x:c r="A84" s="4" t="str">
        <x:v>O15</x:v>
      </x:c>
      <x:c r="B84" s="4" t="str">
        <x:v>Cornell meets DARPA Urban Challenge</x:v>
      </x:c>
      <x:c r="C84" s="4" t="str">
        <x:v>https://news.cornell.edu/stories/2007/11/cornell-meets-darpa-urban-challenge</x:v>
      </x:c>
      <x:c r="D84" s="4" t="str">
        <x:v>2007-11</x:v>
      </x:c>
      <x:c r="E84" s="4" t="str">
        <x:v>PRIMARY_RESEARCH_PARTICIPANT_ACCOUNT</x:v>
      </x:c>
      <x:c r="F84" s="4" t="str">
        <x:v>Closed-course research challenge, not everyday automated public-highway infrastructure.</x:v>
      </x:c>
    </x:row>
    <x:row r="85" ht="85" customHeight="1">
      <x:c r="A85" s="4" t="str">
        <x:v>O16</x:v>
      </x:c>
      <x:c r="B85" s="4" t="str">
        <x:v>Mortality in the United States, 2019 — CDC Data Brief 395</x:v>
      </x:c>
      <x:c r="C85" s="4" t="str">
        <x:v>https://www.cdc.gov/nchs/products/databriefs/db395.htm</x:v>
      </x:c>
      <x:c r="D85" s="4" t="str">
        <x:v>2020-12</x:v>
      </x:c>
      <x:c r="E85" s="4" t="str">
        <x:v>PRIMARY_OFFICIAL_STATISTICS</x:v>
      </x:c>
      <x:c r="F85" s="4" t="str">
        <x:v>Final US period life expectancy for 2019: 78.8 years. A national period measure, not a prediction of a newborn cohort’s eventual lifespan.</x:v>
      </x:c>
    </x:row>
    <x:row r="86" ht="85" customHeight="1">
      <x:c r="A86" s="4" t="str">
        <x:v>O17</x:v>
      </x:c>
      <x:c r="B86" s="4" t="str">
        <x:v>Mortality in the United States, 2024 — CDC Data Brief 548</x:v>
      </x:c>
      <x:c r="C86" s="4" t="str">
        <x:v>https://www.cdc.gov/nchs/products/databriefs/db548.htm</x:v>
      </x:c>
      <x:c r="D86" s="4" t="str">
        <x:v>2026-01</x:v>
      </x:c>
      <x:c r="E86" s="4" t="str">
        <x:v>PRIMARY_OFFICIAL_STATISTICS</x:v>
      </x:c>
      <x:c r="F86" s="4" t="str">
        <x:v>Final US period life expectancy for 2024: 79.0 years. Do not call this a 2026 observation.</x:v>
      </x:c>
    </x:row>
    <x:row r="87" ht="85" customHeight="1">
      <x:c r="A87" s="4" t="str">
        <x:v>O18</x:v>
      </x:c>
      <x:c r="B87" s="4" t="str">
        <x:v>TOP500 — November 2009 list</x:v>
      </x:c>
      <x:c r="C87" s="4" t="str">
        <x:v>https://www.top500.org/lists/top500/2009/11/</x:v>
      </x:c>
      <x:c r="D87" s="4" t="str">
        <x:v>2009-11</x:v>
      </x:c>
      <x:c r="E87" s="4" t="str">
        <x:v>PRIMARY_BENCHMARK_DATA</x:v>
      </x:c>
      <x:c r="F87" s="4" t="str">
        <x:v>Jaguar Rmax 1.759 petaflops; Rpeak 2.331 petaflops. Rmax is measured LINPACK performance, not brain emulation.</x:v>
      </x:c>
    </x:row>
    <x:row r="88" ht="85" customHeight="1">
      <x:c r="A88" s="4" t="str">
        <x:v>O19</x:v>
      </x:c>
      <x:c r="B88" s="4" t="str">
        <x:v>TOP500 — November 2012 list</x:v>
      </x:c>
      <x:c r="C88" s="4" t="str">
        <x:v>https://www.top500.org/lists/top500/2012/11/</x:v>
      </x:c>
      <x:c r="D88" s="4" t="str">
        <x:v>2012-11</x:v>
      </x:c>
      <x:c r="E88" s="4" t="str">
        <x:v>PRIMARY_BENCHMARK_DATA</x:v>
      </x:c>
      <x:c r="F88" s="4" t="str">
        <x:v>Sequoia Rpeak 20.13266 petaflops and Rmax 16.32475; Titan Rpeak 27.11255 and Rmax 17.59. Peak and measured values must not be mixed.</x:v>
      </x:c>
    </x:row>
    <x:row r="89" ht="85" customHeight="1">
      <x:c r="A89" s="4" t="str">
        <x:v>O20</x:v>
      </x:c>
      <x:c r="B89" s="4" t="str">
        <x:v>TOP500 — June 2013 highlights</x:v>
      </x:c>
      <x:c r="C89" s="4" t="str">
        <x:v>https://www.top500.org/lists/top500/2013/06/highlights/</x:v>
      </x:c>
      <x:c r="D89" s="4" t="str">
        <x:v>2013-06</x:v>
      </x:c>
      <x:c r="E89" s="4" t="str">
        <x:v>PRIMARY_BENCHMARK_DATA</x:v>
      </x:c>
      <x:c r="F89" s="4" t="str">
        <x:v>Tianhe-2 recorded 33.86 petaflops Rmax. This establishes a public measured milestone, not a cognition milestone.</x:v>
      </x:c>
    </x:row>
    <x:row r="90" ht="85" customHeight="1">
      <x:c r="A90" s="4" t="str">
        <x:v>O21</x:v>
      </x:c>
      <x:c r="B90" s="4" t="str">
        <x:v>Large Language Models Pass the Turing Test — Jones and Bergen</x:v>
      </x:c>
      <x:c r="C90" s="4" t="str">
        <x:v>https://arxiv.org/abs/2503.23674</x:v>
      </x:c>
      <x:c r="D90" s="4" t="str">
        <x:v>2025-03-31</x:v>
      </x:c>
      <x:c r="E90" s="4" t="str">
        <x:v>PRIMARY_RESEARCH_PAPER</x:v>
      </x:c>
      <x:c r="F90" s="4" t="str">
        <x:v>Five-minute experimental protocol. GPT-4.5 with a humanlike persona was judged human in 73% of the reported comparisons. Not the two-hour Long Bets protocol.</x:v>
      </x:c>
    </x:row>
    <x:row r="91" ht="85" customHeight="1">
      <x:c r="A91" s="4" t="str">
        <x:v>O22</x:v>
      </x:c>
      <x:c r="B91" s="4" t="str">
        <x:v>ECG app and irregular rhythm notification available on Apple Watch</x:v>
      </x:c>
      <x:c r="C91" s="4" t="str">
        <x:v>https://www.apple.com/newsroom/2018/12/ecg-app-and-irregular-heart-rhythm-notification-available-today-on-apple-watch/</x:v>
      </x:c>
      <x:c r="D91" s="4" t="str">
        <x:v>2018-12-06</x:v>
      </x:c>
      <x:c r="E91" s="4" t="str">
        <x:v>PRIMARY_PRODUCT_RELEASE</x:v>
      </x:c>
      <x:c r="F91" s="4" t="str">
        <x:v>AFib-related features are limited-purpose. The release expressly lists conditions they cannot detect; not general diagnosis or autonomous treatment.</x:v>
      </x:c>
    </x:row>
    <x:row r="92" ht="85" customHeight="1">
      <x:c r="A92" s="4" t="str">
        <x:v>O23</x:v>
      </x:c>
      <x:c r="B92" s="4" t="str">
        <x:v>What educators need to know about cochlear implants — FDA</x:v>
      </x:c>
      <x:c r="C92" s="4" t="str">
        <x:v>https://www.fda.gov/medical-devices/cochlear-implants/what-educators-need-know</x:v>
      </x:c>
      <x:c r="D92" s="4"/>
      <x:c r="E92" s="4" t="str">
        <x:v>PRIMARY_REGULATOR_GUIDANCE</x:v>
      </x:c>
      <x:c r="F92" s="4" t="str">
        <x:v>Cochlear implants do not restore normal hearing. Used to correct a medical error in our intake, not to manufacture a Kurzweil forecast.</x:v>
      </x:c>
    </x:row>
    <x:row r="93" ht="85" customHeight="1">
      <x:c r="A93" s="4" t="str">
        <x:v>P01</x:v>
      </x:c>
      <x:c r="B93" s="4" t="str">
        <x:v>How My Predictions Are Faring — Ray Kurzweil</x:v>
      </x:c>
      <x:c r="C93" s="4" t="str">
        <x:v>https://www.thekurzweillibrary.com/images/How-My-Predictions-Are-Faring.pdf</x:v>
      </x:c>
      <x:c r="D93" s="4" t="str">
        <x:v>2010-10</x:v>
      </x:c>
      <x:c r="E93" s="4" t="str">
        <x:v>AUTHOR_RETROSPECTIVE_REPRINT</x:v>
      </x:c>
      <x:c r="F93" s="4" t="str">
        <x:v>Official author archive. Cover says October 2010, but the available file contains later updates. Reprinted forecast passages are used for attribution; the author’s favorable self-grades are not independent outcome evidence. Original book editions were not inspected. Page locators below are PRINTED pages, not PDF viewer indices.</x:v>
      </x:c>
    </x:row>
    <x:row r="94" ht="85" customHeight="1">
      <x:c r="A94" s="4" t="str">
        <x:v>P02</x:v>
      </x:c>
      <x:c r="B94" s="4" t="str">
        <x:v>Spiritual Machines: The Merging of Man and Machine — Ray Kurzweil</x:v>
      </x:c>
      <x:c r="C94" s="4" t="str">
        <x:v>https://iranscope.ghandchi.com/Anthology/Kurzweil-SM.htm</x:v>
      </x:c>
      <x:c r="D94" s="4" t="str">
        <x:v>1999</x:v>
      </x:c>
      <x:c r="E94" s="4" t="str">
        <x:v>AUTHORED_ARTICLE_THIRD_PARTY_MIRROR</x:v>
      </x:c>
      <x:c r="F94" s="4" t="str">
        <x:v>Attributed to Kurzweil; closing note identifies adaptation from The Age of Spiritual Machines (1999). An article mirror, not a scan of the book. Text transcription may contain errors. The article’s dollar amounts must not silently replace differently quoted book versions.</x:v>
      </x:c>
    </x:row>
    <x:row r="95" ht="85" customHeight="1">
      <x:c r="A95" s="4" t="str">
        <x:v>P03</x:v>
      </x:c>
      <x:c r="B95" s="4" t="str">
        <x:v>Long Bets #1 — Kapor/Kurzweil Turing-test agreement</x:v>
      </x:c>
      <x:c r="C95" s="4" t="str">
        <x:v>https://longbets.org/1/</x:v>
      </x:c>
      <x:c r="D95" s="4" t="str">
        <x:v>2002</x:v>
      </x:c>
      <x:c r="E95" s="4" t="str">
        <x:v>PRIMARY_CONTRACT</x:v>
      </x:c>
      <x:c r="F95" s="4" t="str">
        <x:v>Kapor takes the NO side; Kurzweil takes the opposing side. Detailed test conditions belong to this contract, not to every generic use of “Turing test.”</x:v>
      </x:c>
    </x:row>
    <x:row r="96" ht="85" customHeight="1">
      <x:c r="A96" s="4" t="str">
        <x:v>P04</x:v>
      </x:c>
      <x:c r="B96" s="4" t="str">
        <x:v>So what is the singularity? — Ray Kurzweil Q&amp;A</x:v>
      </x:c>
      <x:c r="C96" s="4" t="str">
        <x:v>https://www.writingsbyraykurzweil.com/so-what-is-the-singularity</x:v>
      </x:c>
      <x:c r="D96" s="4" t="str">
        <x:v>2011-01-01</x:v>
      </x:c>
      <x:c r="E96" s="4" t="str">
        <x:v>AUTHOR_ARCHIVE_REPUBLICATION</x:v>
      </x:c>
      <x:c r="F96" s="4" t="str">
        <x:v>Page identifies the dialogue as 2005. Store dialogue year 2005 separately from archive publication date 2011. Not a checked scan of the 2005 book.</x:v>
      </x:c>
    </x:row>
    <x:row r="97" ht="85" customHeight="1">
      <x:c r="A97" s="4" t="str">
        <x:v>P05</x:v>
      </x:c>
      <x:c r="B97" s="4" t="str">
        <x:v>AI escape velocity: A conversation with Ray Kurzweil</x:v>
      </x:c>
      <x:c r="C97" s="4" t="str">
        <x:v>https://www.bvp.com/atlas/ai-escape-velocity-a-conversation-with-ray-kurzweil</x:v>
      </x:c>
      <x:c r="D97" s="4" t="str">
        <x:v>2024-03-11</x:v>
      </x:c>
      <x:c r="E97" s="4" t="str">
        <x:v>PRIMARY_INTERVIEW_TRANSCRIPT</x:v>
      </x:c>
      <x:c r="F97" s="4" t="str">
        <x:v>Bessemer hosts the interview and timestamped transcript. Do not attribute interviewer comments to Kurzweil. The Q&amp;A section is explicitly summarized; cited passages below are in the main transcript.</x:v>
      </x:c>
    </x:row>
    <x:row r="98" ht="85" customHeight="1">
      <x:c r="A98" s="4" t="str">
        <x:v>P06</x:v>
      </x:c>
      <x:c r="B98" s="4" t="str">
        <x:v>Ray Kurzweil: Universal basic income will arrive in the 2030s</x:v>
      </x:c>
      <x:c r="C98" s="4" t="str">
        <x:v>https://www.axios.com/2018/04/13/ray-kurzweil-universal-basic-income-will-arrive-in-the-2030s-1523655832</x:v>
      </x:c>
      <x:c r="D98" s="4" t="str">
        <x:v>2018-04-13</x:v>
      </x:c>
      <x:c r="E98" s="4" t="str">
        <x:v>CONTEMPORANEOUS_EVENT_REPORT</x:v>
      </x:c>
      <x:c r="F98" s="4" t="str">
        <x:v>Secondary, contemporaneous attribution of a TED appearance. Original event transcript was not obtained; lower attribution confidence. Not used as technical outcome evidence.</x:v>
      </x:c>
    </x:row>
    <x:row r="99" ht="85" customHeight="1">
      <x:c r="A99" s="4" t="str">
        <x:v>P07</x:v>
      </x:c>
      <x:c r="B99" s="4" t="str">
        <x:v>Solar power to rule in 20 years, futurists say</x:v>
      </x:c>
      <x:c r="C99" s="4" t="str">
        <x:v>https://www.pressandappearances.com/solar-power-to-rule-in-20-years-futurists-say-2</x:v>
      </x:c>
      <x:c r="D99" s="4" t="str">
        <x:v>2008-02-19</x:v>
      </x:c>
      <x:c r="E99" s="4" t="str">
        <x:v>AUTHOR_ARCHIVE_PRESS_CLIPPING</x:v>
      </x:c>
      <x:c r="F99" s="4" t="str">
        <x:v>Archived event reporting, not an original talk transcript. Review must distinguish solar from all renewables and energy from electricity.</x:v>
      </x:c>
    </x:row>
  </x:sheetData>
  <x:pageMargins left="0.7" right="0.7" top="0.75" bottom="0.75" header="0.3" footer="0.3"/>
  <x:tableParts count="1">
    <x:tablePart xmlns:r="http://schemas.openxmlformats.org/officeDocument/2006/relationships" r:id="R050db928d97b4f5e"/>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39" hidden="0" customWidth="1"/>
    <x:col min="3" max="3" width="20" hidden="0" customWidth="1"/>
    <x:col min="4" max="4" width="20" hidden="0" customWidth="1"/>
    <x:col min="5" max="5" width="22" hidden="0" customWidth="1"/>
    <x:col min="6" max="6" width="22" hidden="0" customWidth="1"/>
    <x:col min="7" max="7" width="40" hidden="0" customWidth="1"/>
  </x:cols>
  <x:sheetData>
    <x:row r="1" ht="32" customHeight="1">
      <x:c r="A1" s="9" t="str">
        <x:v>ID</x:v>
      </x:c>
      <x:c r="B1" s="9" t="str">
        <x:v>Prediction</x:v>
      </x:c>
      <x:c r="C1" s="9" t="str">
        <x:v>Previous verdict</x:v>
      </x:c>
      <x:c r="D1" s="9" t="str">
        <x:v>New verdict</x:v>
      </x:c>
      <x:c r="E1" s="9" t="str">
        <x:v>At deadline</x:v>
      </x:c>
      <x:c r="F1" s="9" t="str">
        <x:v>By review</x:v>
      </x:c>
      <x:c r="G1" s="9" t="str">
        <x:v>Change note</x:v>
      </x:c>
    </x:row>
    <x:row r="2" ht="78" customHeight="1">
      <x:c r="A2" s="4" t="str">
        <x:v>K001</x:v>
      </x:c>
      <x:c r="B2" s="4" t="str">
        <x:v>Computer defeats the world chess champion</x:v>
      </x:c>
      <x:c r="C2" s="4" t="str">
        <x:v>UNREVIEWED</x:v>
      </x:c>
      <x:c r="D2" s="4" t="str">
        <x:v>CORRECT</x:v>
      </x:c>
      <x:c r="E2" s="4" t="str">
        <x:v>FULFILLED</x:v>
      </x:c>
      <x:c r="F2" s="4" t="str">
        <x:v>FULFILLED</x:v>
      </x:c>
      <x:c r="G2" s="4" t="str">
        <x:v>UNREVIEWED -&gt; CORRECT: immaterial date conflict no longer blocks the outcome.</x:v>
      </x:c>
    </x:row>
    <x:row r="3" ht="78" customHeight="1">
      <x:c r="A3" s="4" t="str">
        <x:v>K002</x:v>
      </x:c>
      <x:c r="B3" s="4" t="str">
        <x:v>Lighter and thinner portable computers</x:v>
      </x:c>
      <x:c r="C3" s="4" t="str">
        <x:v>CORRECT</x:v>
      </x:c>
      <x:c r="D3" s="4" t="str">
        <x:v>CORRECT</x:v>
      </x:c>
      <x:c r="E3" s="4" t="str">
        <x:v>FULFILLED</x:v>
      </x:c>
      <x:c r="F3" s="4" t="str">
        <x:v>FULFILLED</x:v>
      </x:c>
      <x:c r="G3" s="4" t="str">
        <x:v>Complete deadline/current outcome assessment under explicit scope; separate uncertainty from verdict.</x:v>
      </x:c>
    </x:row>
    <x:row r="4" ht="78" customHeight="1">
      <x:c r="A4" s="4" t="str">
        <x:v>K003</x:v>
      </x:c>
      <x:c r="B4" s="4" t="str">
        <x:v>Computers embedded in clothing and jewelry</x:v>
      </x:c>
      <x:c r="C4" s="4" t="str">
        <x:v>UNREVIEWED</x:v>
      </x:c>
      <x:c r="D4" s="4" t="str">
        <x:v>LATE</x:v>
      </x:c>
      <x:c r="E4" s="4" t="str">
        <x:v>PARTLY_FULFILLED</x:v>
      </x:c>
      <x:c r="F4" s="4" t="str">
        <x:v>FULFILLED</x:v>
      </x:c>
      <x:c r="G4" s="4" t="str">
        <x:v>Complete deadline/current outcome assessment under explicit scope; separate uncertainty from verdict.</x:v>
      </x:c>
    </x:row>
    <x:row r="5" ht="78" customHeight="1">
      <x:c r="A5" s="4" t="str">
        <x:v>K004</x:v>
      </x:c>
      <x:c r="B5" s="4" t="str">
        <x:v>At least a dozen body-networked computers</x:v>
      </x:c>
      <x:c r="C5" s="4" t="str">
        <x:v>UNSCORABLE</x:v>
      </x:c>
      <x:c r="D5" s="4" t="str">
        <x:v>WRONG</x:v>
      </x:c>
      <x:c r="E5" s="4" t="str">
        <x:v>NOT_FULFILLED</x:v>
      </x:c>
      <x:c r="F5" s="4" t="str">
        <x:v>NOT_FULFILLED</x:v>
      </x:c>
      <x:c r="G5" s="4" t="str">
        <x:v>Complete deadline/current outcome assessment under explicit scope; separate uncertainty from verdict.</x:v>
      </x:c>
    </x:row>
    <x:row r="6" ht="78" customHeight="1">
      <x:c r="A6" s="4" t="str">
        <x:v>K005</x:v>
      </x:c>
      <x:c r="B6" s="4" t="str">
        <x:v>Personal devices largely without moving parts</x:v>
      </x:c>
      <x:c r="C6" s="4" t="str">
        <x:v>UNREVIEWED</x:v>
      </x:c>
      <x:c r="D6" s="4" t="str">
        <x:v>CORRECT</x:v>
      </x:c>
      <x:c r="E6" s="4" t="str">
        <x:v>FULFILLED</x:v>
      </x:c>
      <x:c r="F6" s="4" t="str">
        <x:v>FULFILLED</x:v>
      </x:c>
      <x:c r="G6" s="4" t="str">
        <x:v>Complete deadline/current outcome assessment under explicit scope; separate uncertainty from verdict.</x:v>
      </x:c>
    </x:row>
    <x:row r="7" ht="78" customHeight="1">
      <x:c r="A7" s="4" t="str">
        <x:v>K006</x:v>
      </x:c>
      <x:c r="B7" s="4" t="str">
        <x:v>Most portable computers lack keyboards</x:v>
      </x:c>
      <x:c r="C7" s="4" t="str">
        <x:v>UNREVIEWED</x:v>
      </x:c>
      <x:c r="D7" s="4" t="str">
        <x:v>LATE</x:v>
      </x:c>
      <x:c r="E7" s="4" t="str">
        <x:v>PARTLY_FULFILLED</x:v>
      </x:c>
      <x:c r="F7" s="4" t="str">
        <x:v>FULFILLED</x:v>
      </x:c>
      <x:c r="G7" s="4" t="str">
        <x:v>Complete deadline/current outcome assessment under explicit scope; separate uncertainty from verdict.</x:v>
      </x:c>
    </x:row>
    <x:row r="8" ht="78" customHeight="1">
      <x:c r="A8" s="4" t="str">
        <x:v>K007</x:v>
      </x:c>
      <x:c r="B8" s="4" t="str">
        <x:v>Home and office servers for most users</x:v>
      </x:c>
      <x:c r="C8" s="4" t="str">
        <x:v>UNREVIEWED</x:v>
      </x:c>
      <x:c r="D8" s="4" t="str">
        <x:v>PARTIAL</x:v>
      </x:c>
      <x:c r="E8" s="4" t="str">
        <x:v>PARTLY_FULFILLED</x:v>
      </x:c>
      <x:c r="F8" s="4" t="str">
        <x:v>PARTLY_FULFILLED</x:v>
      </x:c>
      <x:c r="G8" s="4" t="str">
        <x:v>Complete deadline/current outcome assessment under explicit scope; separate uncertainty from verdict.</x:v>
      </x:c>
    </x:row>
    <x:row r="9" ht="78" customHeight="1">
      <x:c r="A9" s="4" t="str">
        <x:v>K008</x:v>
      </x:c>
      <x:c r="B9" s="4" t="str">
        <x:v>Wireless delivery of digital media and software</x:v>
      </x:c>
      <x:c r="C9" s="4" t="str">
        <x:v>CORRECT</x:v>
      </x:c>
      <x:c r="D9" s="4" t="str">
        <x:v>CORRECT</x:v>
      </x:c>
      <x:c r="E9" s="4" t="str">
        <x:v>FULFILLED</x:v>
      </x:c>
      <x:c r="F9" s="4" t="str">
        <x:v>FULFILLED</x:v>
      </x:c>
      <x:c r="G9" s="4" t="str">
        <x:v>Complete deadline/current outcome assessment under explicit scope; separate uncertainty from verdict.</x:v>
      </x:c>
    </x:row>
    <x:row r="10" ht="78" customHeight="1">
      <x:c r="A10" s="4" t="str">
        <x:v>K009</x:v>
      </x:c>
      <x:c r="B10" s="4" t="str">
        <x:v>Wireless links replace some peripheral cables</x:v>
      </x:c>
      <x:c r="C10" s="4" t="str">
        <x:v>PARTIAL</x:v>
      </x:c>
      <x:c r="D10" s="4" t="str">
        <x:v>CORRECT</x:v>
      </x:c>
      <x:c r="E10" s="4" t="str">
        <x:v>FULFILLED</x:v>
      </x:c>
      <x:c r="F10" s="4" t="str">
        <x:v>FULFILLED</x:v>
      </x:c>
      <x:c r="G10" s="4" t="str">
        <x:v>Complete deadline/current outcome assessment under explicit scope; separate uncertainty from verdict.</x:v>
      </x:c>
    </x:row>
    <x:row r="11" ht="78" customHeight="1">
      <x:c r="A11" s="4" t="str">
        <x:v>K010</x:v>
      </x:c>
      <x:c r="B11" s="4" t="str">
        <x:v>Routine, reliable, high-bandwidth wireless access</x:v>
      </x:c>
      <x:c r="C11" s="4" t="str">
        <x:v>PARTIAL</x:v>
      </x:c>
      <x:c r="D11" s="4" t="str">
        <x:v>CORRECT</x:v>
      </x:c>
      <x:c r="E11" s="4" t="str">
        <x:v>FULFILLED</x:v>
      </x:c>
      <x:c r="F11" s="4" t="str">
        <x:v>FULFILLED</x:v>
      </x:c>
      <x:c r="G11" s="4" t="str">
        <x:v>Complete deadline/current outcome assessment under explicit scope; separate uncertainty from verdict.</x:v>
      </x:c>
    </x:row>
    <x:row r="12" ht="78" customHeight="1">
      <x:c r="A12" s="4" t="str">
        <x:v>K011</x:v>
      </x:c>
      <x:c r="B12" s="4" t="str">
        <x:v>Dictation creates the majority of text</x:v>
      </x:c>
      <x:c r="C12" s="4" t="str">
        <x:v>WRONG_MISSED</x:v>
      </x:c>
      <x:c r="D12" s="4" t="str">
        <x:v>WRONG</x:v>
      </x:c>
      <x:c r="E12" s="4" t="str">
        <x:v>NOT_FULFILLED</x:v>
      </x:c>
      <x:c r="F12" s="4" t="str">
        <x:v>NOT_FULFILLED</x:v>
      </x:c>
      <x:c r="G12" s="4" t="str">
        <x:v>Complete deadline/current outcome assessment under explicit scope; separate uncertainty from verdict.</x:v>
      </x:c>
    </x:row>
    <x:row r="13" ht="78" customHeight="1">
      <x:c r="A13" s="4" t="str">
        <x:v>K012</x:v>
      </x:c>
      <x:c r="B13" s="4" t="str">
        <x:v>Ubiquitous language interfaces and animated assistants</x:v>
      </x:c>
      <x:c r="C13" s="4" t="str">
        <x:v>PARTIAL</x:v>
      </x:c>
      <x:c r="D13" s="4" t="str">
        <x:v>PARTIAL</x:v>
      </x:c>
      <x:c r="E13" s="4" t="str">
        <x:v>PARTLY_FULFILLED</x:v>
      </x:c>
      <x:c r="F13" s="4" t="str">
        <x:v>PARTLY_FULFILLED</x:v>
      </x:c>
      <x:c r="G13" s="4" t="str">
        <x:v>Complete deadline/current outcome assessment under explicit scope; separate uncertainty from verdict.</x:v>
      </x:c>
    </x:row>
    <x:row r="14" ht="78" customHeight="1">
      <x:c r="A14" s="4" t="str">
        <x:v>K013</x:v>
      </x:c>
      <x:c r="B14" s="4" t="str">
        <x:v>Paper-like displays and routine electronic reading</x:v>
      </x:c>
      <x:c r="C14" s="4" t="str">
        <x:v>PARTIAL</x:v>
      </x:c>
      <x:c r="D14" s="4" t="str">
        <x:v>CORRECT</x:v>
      </x:c>
      <x:c r="E14" s="4" t="str">
        <x:v>FULFILLED</x:v>
      </x:c>
      <x:c r="F14" s="4" t="str">
        <x:v>FULFILLED</x:v>
      </x:c>
      <x:c r="G14" s="4" t="str">
        <x:v>Complete deadline/current outcome assessment under explicit scope; separate uncertainty from verdict.</x:v>
      </x:c>
    </x:row>
    <x:row r="15" ht="78" customHeight="1">
      <x:c r="A15" s="4" t="str">
        <x:v>K014</x:v>
      </x:c>
      <x:c r="B15" s="4" t="str">
        <x:v>See-through glasses with direct retinal projection</x:v>
      </x:c>
      <x:c r="C15" s="4" t="str">
        <x:v>UNREVIEWED</x:v>
      </x:c>
      <x:c r="D15" s="4" t="str">
        <x:v>CORRECT</x:v>
      </x:c>
      <x:c r="E15" s="4" t="str">
        <x:v>FULFILLED</x:v>
      </x:c>
      <x:c r="F15" s="4" t="str">
        <x:v>FULFILLED</x:v>
      </x:c>
      <x:c r="G15" s="4" t="str">
        <x:v>Complete deadline/current outcome assessment under explicit scope; separate uncertainty from verdict.</x:v>
      </x:c>
    </x:row>
    <x:row r="16" ht="78" customHeight="1">
      <x:c r="A16" s="4" t="str">
        <x:v>K015</x:v>
      </x:c>
      <x:c r="B16" s="4" t="str">
        <x:v>Glasses and contact-lens displays in the 2010s</x:v>
      </x:c>
      <x:c r="C16" s="4" t="str">
        <x:v>UNREVIEWED</x:v>
      </x:c>
      <x:c r="D16" s="4" t="str">
        <x:v>PARTIAL</x:v>
      </x:c>
      <x:c r="E16" s="4" t="str">
        <x:v>PARTLY_FULFILLED</x:v>
      </x:c>
      <x:c r="F16" s="4" t="str">
        <x:v>PARTLY_FULFILLED</x:v>
      </x:c>
      <x:c r="G16" s="4" t="str">
        <x:v>Complete deadline/current outcome assessment under explicit scope; separate uncertainty from verdict.</x:v>
      </x:c>
    </x:row>
    <x:row r="17" ht="78" customHeight="1">
      <x:c r="A17" s="4" t="str">
        <x:v>K016</x:v>
      </x:c>
      <x:c r="B17" s="4" t="str">
        <x:v>Tiny devices project auditory environments</x:v>
      </x:c>
      <x:c r="C17" s="4" t="str">
        <x:v>UNREVIEWED</x:v>
      </x:c>
      <x:c r="D17" s="4" t="str">
        <x:v>LATE</x:v>
      </x:c>
      <x:c r="E17" s="4" t="str">
        <x:v>PARTLY_FULFILLED</x:v>
      </x:c>
      <x:c r="F17" s="4" t="str">
        <x:v>FULFILLED</x:v>
      </x:c>
      <x:c r="G17" s="4" t="str">
        <x:v>Complete deadline/current outcome assessment under explicit scope; separate uncertainty from verdict.</x:v>
      </x:c>
    </x:row>
    <x:row r="18" ht="78" customHeight="1">
      <x:c r="A18" s="4" t="str">
        <x:v>K017</x:v>
      </x:c>
      <x:c r="B18" s="4" t="str">
        <x:v>Anytime immersive audiovisual virtual reality</x:v>
      </x:c>
      <x:c r="C18" s="4" t="str">
        <x:v>UNREVIEWED</x:v>
      </x:c>
      <x:c r="D18" s="4" t="str">
        <x:v>LATE</x:v>
      </x:c>
      <x:c r="E18" s="4" t="str">
        <x:v>PARTLY_FULFILLED</x:v>
      </x:c>
      <x:c r="F18" s="4" t="str">
        <x:v>FULFILLED</x:v>
      </x:c>
      <x:c r="G18" s="4" t="str">
        <x:v>Complete deadline/current outcome assessment under explicit scope; separate uncertainty from verdict.</x:v>
      </x:c>
    </x:row>
    <x:row r="19" ht="78" customHeight="1">
      <x:c r="A19" s="4" t="str">
        <x:v>K018</x:v>
      </x:c>
      <x:c r="B19" s="4" t="str">
        <x:v>Augmented-reality overlays</x:v>
      </x:c>
      <x:c r="C19" s="4" t="str">
        <x:v>UNREVIEWED</x:v>
      </x:c>
      <x:c r="D19" s="4" t="str">
        <x:v>CORRECT</x:v>
      </x:c>
      <x:c r="E19" s="4" t="str">
        <x:v>FULFILLED</x:v>
      </x:c>
      <x:c r="F19" s="4" t="str">
        <x:v>FULFILLED</x:v>
      </x:c>
      <x:c r="G19" s="4" t="str">
        <x:v>Complete deadline/current outcome assessment under explicit scope; separate uncertainty from verdict.</x:v>
      </x:c>
    </x:row>
    <x:row r="20" ht="78" customHeight="1">
      <x:c r="A20" s="4" t="str">
        <x:v>K019</x:v>
      </x:c>
      <x:c r="B20" s="4" t="str">
        <x:v>People largely removed from the battlefield</x:v>
      </x:c>
      <x:c r="C20" s="4" t="str">
        <x:v>WRONG_MISSED</x:v>
      </x:c>
      <x:c r="D20" s="4" t="str">
        <x:v>WRONG</x:v>
      </x:c>
      <x:c r="E20" s="4" t="str">
        <x:v>NOT_FULFILLED</x:v>
      </x:c>
      <x:c r="F20" s="4" t="str">
        <x:v>NOT_FULFILLED</x:v>
      </x:c>
      <x:c r="G20" s="4" t="str">
        <x:v>Complete deadline/current outcome assessment under explicit scope; separate uncertainty from verdict.</x:v>
      </x:c>
    </x:row>
    <x:row r="21" ht="78" customHeight="1">
      <x:c r="A21" s="4" t="str">
        <x:v>K020</x:v>
      </x:c>
      <x:c r="B21" s="4" t="str">
        <x:v>Unmanned aircraft dominate warfare</x:v>
      </x:c>
      <x:c r="C21" s="4" t="str">
        <x:v>UNSCORABLE</x:v>
      </x:c>
      <x:c r="D21" s="4" t="str">
        <x:v>PARTIAL</x:v>
      </x:c>
      <x:c r="E21" s="4" t="str">
        <x:v>NOT_FULFILLED</x:v>
      </x:c>
      <x:c r="F21" s="4" t="str">
        <x:v>PARTLY_FULFILLED</x:v>
      </x:c>
      <x:c r="G21" s="4" t="str">
        <x:v>Complete deadline/current outcome assessment under explicit scope; separate uncertainty from verdict.</x:v>
      </x:c>
    </x:row>
    <x:row r="22" ht="78" customHeight="1">
      <x:c r="A22" s="4" t="str">
        <x:v>K021</x:v>
      </x:c>
      <x:c r="B22" s="4" t="str">
        <x:v>Solar meets worldwide energy demand</x:v>
      </x:c>
      <x:c r="C22" s="4" t="str">
        <x:v>PENDING</x:v>
      </x:c>
      <x:c r="D22" s="4" t="str">
        <x:v>PENDING</x:v>
      </x:c>
      <x:c r="E22" s="4" t="str">
        <x:v>NOT_DUE</x:v>
      </x:c>
      <x:c r="F22" s="4" t="str">
        <x:v>PARTLY_FULFILLED</x:v>
      </x:c>
      <x:c r="G22" s="4" t="str">
        <x:v>Complete deadline/current outcome assessment under explicit scope; separate uncertainty from verdict.</x:v>
      </x:c>
    </x:row>
    <x:row r="23" ht="78" customHeight="1">
      <x:c r="A23" s="4" t="str">
        <x:v>K022</x:v>
      </x:c>
      <x:c r="B23" s="4" t="str">
        <x:v>The Singularity and billionfold intelligence expansion</x:v>
      </x:c>
      <x:c r="C23" s="4" t="str">
        <x:v>PENDING</x:v>
      </x:c>
      <x:c r="D23" s="4" t="str">
        <x:v>PENDING</x:v>
      </x:c>
      <x:c r="E23" s="4" t="str">
        <x:v>NOT_DUE</x:v>
      </x:c>
      <x:c r="F23" s="4" t="str">
        <x:v>PARTLY_FULFILLED</x:v>
      </x:c>
      <x:c r="G23" s="4" t="str">
        <x:v>Complete deadline/current outcome assessment under explicit scope; separate uncertainty from verdict.</x:v>
      </x:c>
    </x:row>
    <x:row r="24" ht="78" customHeight="1">
      <x:c r="A24" s="4" t="str">
        <x:v>K023</x:v>
      </x:c>
      <x:c r="B24" s="4" t="str">
        <x:v>The specific Kurzweil–Kapor Turing-test wager</x:v>
      </x:c>
      <x:c r="C24" s="4" t="str">
        <x:v>PENDING</x:v>
      </x:c>
      <x:c r="D24" s="4" t="str">
        <x:v>PENDING</x:v>
      </x:c>
      <x:c r="E24" s="4" t="str">
        <x:v>NOT_DUE</x:v>
      </x:c>
      <x:c r="F24" s="4" t="str">
        <x:v>NOT_FULFILLED</x:v>
      </x:c>
      <x:c r="G24" s="4" t="str">
        <x:v>Complete deadline/current outcome assessment under explicit scope; separate uncertainty from verdict.</x:v>
      </x:c>
    </x:row>
    <x:row r="25" ht="78" customHeight="1">
      <x:c r="A25" s="4" t="str">
        <x:v>K024</x:v>
      </x:c>
      <x:c r="B25" s="4" t="str">
        <x:v>Bloodstream nanobots for scouting and limited repair</x:v>
      </x:c>
      <x:c r="C25" s="4" t="str">
        <x:v>PENDING</x:v>
      </x:c>
      <x:c r="D25" s="4" t="str">
        <x:v>PENDING</x:v>
      </x:c>
      <x:c r="E25" s="4" t="str">
        <x:v>NOT_DUE</x:v>
      </x:c>
      <x:c r="F25" s="4" t="str">
        <x:v>PARTLY_FULFILLED</x:v>
      </x:c>
      <x:c r="G25" s="4" t="str">
        <x:v>Complete deadline/current outcome assessment under explicit scope; separate uncertainty from verdict.</x:v>
      </x:c>
    </x:row>
    <x:row r="26" ht="78" customHeight="1">
      <x:c r="A26" s="4" t="str">
        <x:v>K025</x:v>
      </x:c>
      <x:c r="B26" s="4" t="str">
        <x:v>A thousand-dollar brain-capacity computer in 2020</x:v>
      </x:c>
      <x:c r="C26" s="4" t="str">
        <x:v>UNSCORABLE</x:v>
      </x:c>
      <x:c r="D26" s="4" t="str">
        <x:v>WRONG</x:v>
      </x:c>
      <x:c r="E26" s="4" t="str">
        <x:v>NOT_FULFILLED</x:v>
      </x:c>
      <x:c r="F26" s="4" t="str">
        <x:v>NOT_FULFILLED</x:v>
      </x:c>
      <x:c r="G26" s="4" t="str">
        <x:v>Complete deadline/current outcome assessment under explicit scope; separate uncertainty from verdict.</x:v>
      </x:c>
    </x:row>
    <x:row r="27" ht="78" customHeight="1">
      <x:c r="A27" s="4" t="str">
        <x:v>K026</x:v>
      </x:c>
      <x:c r="B27" s="4" t="str">
        <x:v>Automated intelligent highways</x:v>
      </x:c>
      <x:c r="C27" s="4" t="str">
        <x:v>WRONG_MISSED</x:v>
      </x:c>
      <x:c r="D27" s="4" t="str">
        <x:v>PARTIAL</x:v>
      </x:c>
      <x:c r="E27" s="4" t="str">
        <x:v>NOT_FULFILLED</x:v>
      </x:c>
      <x:c r="F27" s="4" t="str">
        <x:v>PARTLY_FULFILLED</x:v>
      </x:c>
      <x:c r="G27" s="4" t="str">
        <x:v>Complete deadline/current outcome assessment under explicit scope; separate uncertainty from verdict.</x:v>
      </x:c>
    </x:row>
    <x:row r="28" ht="78" customHeight="1">
      <x:c r="A28" s="4" t="str">
        <x:v>K027</x:v>
      </x:c>
      <x:c r="B28" s="4" t="str">
        <x:v>Life expectancy over 100</x:v>
      </x:c>
      <x:c r="C28" s="4" t="str">
        <x:v>WRONG_MISSED</x:v>
      </x:c>
      <x:c r="D28" s="4" t="str">
        <x:v>WRONG</x:v>
      </x:c>
      <x:c r="E28" s="4" t="str">
        <x:v>NOT_FULFILLED</x:v>
      </x:c>
      <x:c r="F28" s="4" t="str">
        <x:v>NOT_FULFILLED</x:v>
      </x:c>
      <x:c r="G28" s="4" t="str">
        <x:v>Complete deadline/current outcome assessment under explicit scope; separate uncertainty from verdict.</x:v>
      </x:c>
    </x:row>
    <x:row r="29" ht="78" customHeight="1">
      <x:c r="A29" s="4" t="str">
        <x:v>K028</x:v>
      </x:c>
      <x:c r="B29" s="4" t="str">
        <x:v>Life expectancy reaches 120</x:v>
      </x:c>
      <x:c r="C29" s="4" t="str">
        <x:v>PENDING</x:v>
      </x:c>
      <x:c r="D29" s="4" t="str">
        <x:v>PENDING</x:v>
      </x:c>
      <x:c r="E29" s="4" t="str">
        <x:v>NOT_DUE</x:v>
      </x:c>
      <x:c r="F29" s="4" t="str">
        <x:v>NOT_FULFILLED</x:v>
      </x:c>
      <x:c r="G29" s="4" t="str">
        <x:v>Complete deadline/current outcome assessment under explicit scope; separate uncertainty from verdict.</x:v>
      </x:c>
    </x:row>
    <x:row r="30" ht="78" customHeight="1">
      <x:c r="A30" s="4" t="str">
        <x:v>K029</x:v>
      </x:c>
      <x:c r="B30" s="4" t="str">
        <x:v>Gesture and spoken language become dominant input</x:v>
      </x:c>
      <x:c r="C30" s="4" t="str">
        <x:v>UNREVIEWED</x:v>
      </x:c>
      <x:c r="D30" s="4" t="str">
        <x:v>PARTIAL</x:v>
      </x:c>
      <x:c r="E30" s="4" t="str">
        <x:v>PARTLY_FULFILLED</x:v>
      </x:c>
      <x:c r="F30" s="4" t="str">
        <x:v>PARTLY_FULFILLED</x:v>
      </x:c>
      <x:c r="G30" s="4" t="str">
        <x:v>Complete deadline/current outcome assessment under explicit scope; separate uncertainty from verdict.</x:v>
      </x:c>
    </x:row>
    <x:row r="31" ht="78" customHeight="1">
      <x:c r="A31" s="4" t="str">
        <x:v>K030</x:v>
      </x:c>
      <x:c r="B31" s="4" t="str">
        <x:v>Routine high-acuity retinal displays</x:v>
      </x:c>
      <x:c r="C31" s="4" t="str">
        <x:v>UNREVIEWED</x:v>
      </x:c>
      <x:c r="D31" s="4" t="str">
        <x:v>PARTIAL</x:v>
      </x:c>
      <x:c r="E31" s="4" t="str">
        <x:v>PARTLY_FULFILLED</x:v>
      </x:c>
      <x:c r="F31" s="4" t="str">
        <x:v>PARTLY_FULFILLED</x:v>
      </x:c>
      <x:c r="G31" s="4" t="str">
        <x:v>Complete deadline/current outcome assessment under explicit scope; separate uncertainty from verdict.</x:v>
      </x:c>
    </x:row>
    <x:row r="32" ht="78" customHeight="1">
      <x:c r="A32" s="4" t="str">
        <x:v>K031</x:v>
      </x:c>
      <x:c r="B32" s="4" t="str">
        <x:v>Convincing full-body tactile virtual reality</x:v>
      </x:c>
      <x:c r="C32" s="4" t="str">
        <x:v>UNREVIEWED</x:v>
      </x:c>
      <x:c r="D32" s="4" t="str">
        <x:v>WRONG</x:v>
      </x:c>
      <x:c r="E32" s="4" t="str">
        <x:v>NOT_FULFILLED</x:v>
      </x:c>
      <x:c r="F32" s="4" t="str">
        <x:v>NOT_FULFILLED</x:v>
      </x:c>
      <x:c r="G32" s="4" t="str">
        <x:v>Complete deadline/current outcome assessment under explicit scope; separate uncertainty from verdict.</x:v>
      </x:c>
    </x:row>
    <x:row r="33" ht="78" customHeight="1">
      <x:c r="A33" s="4" t="str">
        <x:v>K032</x:v>
      </x:c>
      <x:c r="B33" s="4" t="str">
        <x:v>High-bandwidth neural interfaces augment brain functions</x:v>
      </x:c>
      <x:c r="C33" s="4" t="str">
        <x:v>PENDING</x:v>
      </x:c>
      <x:c r="D33" s="4" t="str">
        <x:v>PENDING</x:v>
      </x:c>
      <x:c r="E33" s="4" t="str">
        <x:v>NOT_DUE</x:v>
      </x:c>
      <x:c r="F33" s="4" t="str">
        <x:v>PARTLY_FULFILLED</x:v>
      </x:c>
      <x:c r="G33" s="4" t="str">
        <x:v>Complete deadline/current outcome assessment under explicit scope; separate uncertainty from verdict.</x:v>
      </x:c>
    </x:row>
    <x:row r="34" ht="78" customHeight="1">
      <x:c r="A34" s="4" t="str">
        <x:v>K033</x:v>
      </x:c>
      <x:c r="B34" s="4" t="str">
        <x:v>Supercomputers reach 20 quadrillion calculations per second</x:v>
      </x:c>
      <x:c r="C34" s="4" t="str">
        <x:v>LATE</x:v>
      </x:c>
      <x:c r="D34" s="4" t="str">
        <x:v>LATE</x:v>
      </x:c>
      <x:c r="E34" s="4" t="str">
        <x:v>NOT_FULFILLED</x:v>
      </x:c>
      <x:c r="F34" s="4" t="str">
        <x:v>FULFILLED</x:v>
      </x:c>
      <x:c r="G34" s="4" t="str">
        <x:v>Complete deadline/current outcome assessment under explicit scope; separate uncertainty from verdict.</x:v>
      </x:c>
    </x:row>
    <x:row r="35" ht="78" customHeight="1">
      <x:c r="A35" s="4" t="str">
        <x:v>K034</x:v>
      </x:c>
      <x:c r="B35" s="4" t="str">
        <x:v>The 2019 thousand-dollar brain-compute estimate</x:v>
      </x:c>
      <x:c r="C35" s="4" t="str">
        <x:v>UNSCORABLE</x:v>
      </x:c>
      <x:c r="D35" s="4" t="str">
        <x:v>WRONG</x:v>
      </x:c>
      <x:c r="E35" s="4" t="str">
        <x:v>NOT_FULFILLED</x:v>
      </x:c>
      <x:c r="F35" s="4" t="str">
        <x:v>NOT_FULFILLED</x:v>
      </x:c>
      <x:c r="G35" s="4" t="str">
        <x:v>Complete deadline/current outcome assessment under explicit scope; separate uncertainty from verdict.</x:v>
      </x:c>
    </x:row>
    <x:row r="36" ht="78" customHeight="1">
      <x:c r="A36" s="4" t="str">
        <x:v>K035</x:v>
      </x:c>
      <x:c r="B36" s="4" t="str">
        <x:v>Thousand-brain computation for a thousand dollars</x:v>
      </x:c>
      <x:c r="C36" s="4" t="str">
        <x:v>PENDING</x:v>
      </x:c>
      <x:c r="D36" s="4" t="str">
        <x:v>PENDING</x:v>
      </x:c>
      <x:c r="E36" s="4" t="str">
        <x:v>NOT_DUE</x:v>
      </x:c>
      <x:c r="F36" s="4" t="str">
        <x:v>NOT_FULFILLED</x:v>
      </x:c>
      <x:c r="G36" s="4" t="str">
        <x:v>Complete deadline/current outcome assessment under explicit scope; separate uncertainty from verdict.</x:v>
      </x:c>
    </x:row>
    <x:row r="37" ht="78" customHeight="1">
      <x:c r="A37" s="4" t="str">
        <x:v>K036</x:v>
      </x:c>
      <x:c r="B37" s="4" t="str">
        <x:v>Effective models of all brain regions</x:v>
      </x:c>
      <x:c r="C37" s="4" t="str">
        <x:v>UNREVIEWED</x:v>
      </x:c>
      <x:c r="D37" s="4" t="str">
        <x:v>PARTIAL</x:v>
      </x:c>
      <x:c r="E37" s="4" t="str">
        <x:v>PARTLY_FULFILLED</x:v>
      </x:c>
      <x:c r="F37" s="4" t="str">
        <x:v>PARTLY_FULFILLED</x:v>
      </x:c>
      <x:c r="G37" s="4" t="str">
        <x:v>Complete deadline/current outcome assessment under explicit scope; separate uncertainty from verdict.</x:v>
      </x:c>
    </x:row>
    <x:row r="38" ht="78" customHeight="1">
      <x:c r="A38" s="4" t="str">
        <x:v>K037</x:v>
      </x:c>
      <x:c r="B38" s="4" t="str">
        <x:v>Developed-world universal basic income</x:v>
      </x:c>
      <x:c r="C38" s="4" t="str">
        <x:v>PENDING</x:v>
      </x:c>
      <x:c r="D38" s="4" t="str">
        <x:v>PENDING</x:v>
      </x:c>
      <x:c r="E38" s="4" t="str">
        <x:v>NOT_DUE</x:v>
      </x:c>
      <x:c r="F38" s="4" t="str">
        <x:v>PARTLY_FULFILLED</x:v>
      </x:c>
      <x:c r="G38" s="4" t="str">
        <x:v>Complete deadline/current outcome assessment under explicit scope; separate uncertainty from verdict.</x:v>
      </x:c>
    </x:row>
    <x:row r="39" ht="78" customHeight="1">
      <x:c r="A39" s="4" t="str">
        <x:v>K038</x:v>
      </x:c>
      <x:c r="B39" s="4" t="str">
        <x:v>Worldwide universal basic income</x:v>
      </x:c>
      <x:c r="C39" s="4" t="str">
        <x:v>PENDING</x:v>
      </x:c>
      <x:c r="D39" s="4" t="str">
        <x:v>PENDING</x:v>
      </x:c>
      <x:c r="E39" s="4" t="str">
        <x:v>NOT_DUE</x:v>
      </x:c>
      <x:c r="F39" s="4" t="str">
        <x:v>PARTLY_FULFILLED</x:v>
      </x:c>
      <x:c r="G39" s="4" t="str">
        <x:v>Complete deadline/current outcome assessment under explicit scope; separate uncertainty from verdict.</x:v>
      </x:c>
    </x:row>
    <x:row r="40" ht="78" customHeight="1">
      <x:c r="A40" s="4" t="str">
        <x:v>K039</x:v>
      </x:c>
      <x:c r="B40" s="4" t="str">
        <x:v>Nonlinear electronic documents</x:v>
      </x:c>
      <x:c r="C40" s="4" t="str">
        <x:v>UNSCORABLE</x:v>
      </x:c>
      <x:c r="D40" s="4" t="str">
        <x:v>CORRECT</x:v>
      </x:c>
      <x:c r="E40" s="4" t="str">
        <x:v>UNDATED</x:v>
      </x:c>
      <x:c r="F40" s="4" t="str">
        <x:v>FULFILLED</x:v>
      </x:c>
      <x:c r="G40" s="4" t="str">
        <x:v>Complete deadline/current outcome assessment under explicit scope; separate uncertainty from verdict.</x:v>
      </x:c>
    </x:row>
    <x:row r="41" ht="78" customHeight="1">
      <x:c r="A41" s="4" t="str">
        <x:v>K040</x:v>
      </x:c>
      <x:c r="B41" s="4" t="str">
        <x:v>Information technology pressures authoritarian control</x:v>
      </x:c>
      <x:c r="C41" s="4" t="str">
        <x:v>UNSCORABLE</x:v>
      </x:c>
      <x:c r="D41" s="4" t="str">
        <x:v>PARTIAL</x:v>
      </x:c>
      <x:c r="E41" s="4" t="str">
        <x:v>UNDATED</x:v>
      </x:c>
      <x:c r="F41" s="4" t="str">
        <x:v>PARTLY_FULFILLED</x:v>
      </x:c>
      <x:c r="G41" s="4" t="str">
        <x:v>Complete deadline/current outcome assessment under explicit scope; separate uncertainty from verdict.</x:v>
      </x:c>
    </x:row>
    <x:row r="42" ht="78" customHeight="1">
      <x:c r="A42" s="4" t="str">
        <x:v>K041</x:v>
      </x:c>
      <x:c r="B42" s="4" t="str">
        <x:v>Wearable diagnosis and health intervention</x:v>
      </x:c>
      <x:c r="C42" s="4" t="str">
        <x:v>PARTIAL</x:v>
      </x:c>
      <x:c r="D42" s="4" t="str">
        <x:v>CORRECT</x:v>
      </x:c>
      <x:c r="E42" s="4" t="str">
        <x:v>FULFILLED</x:v>
      </x:c>
      <x:c r="F42" s="4" t="str">
        <x:v>FULFILLED</x:v>
      </x:c>
      <x:c r="G42" s="4" t="str">
        <x:v>Complete deadline/current outcome assessment under explicit scope; separate uncertainty from verdict.</x:v>
      </x:c>
    </x:row>
    <x:row r="43" ht="78" customHeight="1">
      <x:c r="A43" s="4" t="str">
        <x:v>K042</x:v>
      </x:c>
      <x:c r="B43" s="4" t="str">
        <x:v>Longevity escape velocity</x:v>
      </x:c>
      <x:c r="C43" s="4" t="str">
        <x:v>PENDING</x:v>
      </x:c>
      <x:c r="D43" s="4" t="str">
        <x:v>PENDING</x:v>
      </x:c>
      <x:c r="E43" s="4" t="str">
        <x:v>NOT_DUE</x:v>
      </x:c>
      <x:c r="F43" s="4" t="str">
        <x:v>PARTLY_FULFILLED</x:v>
      </x:c>
      <x:c r="G43" s="4" t="str">
        <x:v>Complete deadline/current outcome assessment under explicit scope; separate uncertainty from verdict.</x:v>
      </x:c>
    </x:row>
    <x:row r="44" ht="78" customHeight="1">
      <x:c r="A44" s="4" t="str">
        <x:v>K043</x:v>
      </x:c>
      <x:c r="B44" s="4" t="str">
        <x:v>Brain-to-cloud cognitive integration</x:v>
      </x:c>
      <x:c r="C44" s="4" t="str">
        <x:v>PENDING</x:v>
      </x:c>
      <x:c r="D44" s="4" t="str">
        <x:v>PENDING</x:v>
      </x:c>
      <x:c r="E44" s="4" t="str">
        <x:v>NOT_DUE</x:v>
      </x:c>
      <x:c r="F44" s="4" t="str">
        <x:v>PARTLY_FULFILLED</x:v>
      </x:c>
      <x:c r="G44" s="4" t="str">
        <x:v>Complete deadline/current outcome assessment under explicit scope; separate uncertainty from verdict.</x:v>
      </x:c>
    </x:row>
    <x:row r="45" ht="78" customHeight="1">
      <x:c r="A45" s="4" t="str">
        <x:v>K044</x:v>
      </x:c>
      <x:c r="B45" s="4" t="str">
        <x:v>Renewable electricity reaches the full-demand threshold</x:v>
      </x:c>
      <x:c r="C45" s="4" t="str">
        <x:v>PENDING</x:v>
      </x:c>
      <x:c r="D45" s="4" t="str">
        <x:v>PENDING</x:v>
      </x:c>
      <x:c r="E45" s="4" t="str">
        <x:v>NOT_DUE</x:v>
      </x:c>
      <x:c r="F45" s="4" t="str">
        <x:v>PARTLY_FULFILLED</x:v>
      </x:c>
      <x:c r="G45" s="4" t="str">
        <x:v>Complete deadline/current outcome assessment under explicit scope; separate uncertainty from verdict.</x:v>
      </x:c>
    </x:row>
    <x:row r="46" ht="78" customHeight="1">
      <x:c r="A46" s="4" t="str">
        <x:v>K045</x:v>
      </x:c>
      <x:c r="B46" s="4" t="str">
        <x:v>Human-level AI by the end of the 2020s</x:v>
      </x:c>
      <x:c r="C46" s="4" t="str">
        <x:v>PENDING</x:v>
      </x:c>
      <x:c r="D46" s="4" t="str">
        <x:v>PENDING</x:v>
      </x:c>
      <x:c r="E46" s="4" t="str">
        <x:v>NOT_DUE</x:v>
      </x:c>
      <x:c r="F46" s="4" t="str">
        <x:v>PARTLY_FULFILLED</x:v>
      </x:c>
      <x:c r="G46" s="4" t="str">
        <x:v>Complete deadline/current outcome assessment under explicit scope; separate uncertainty from verdict.</x:v>
      </x:c>
    </x:row>
    <x:row r="47" ht="78" customHeight="1">
      <x:c r="A47" s="4" t="str">
        <x:v>K046</x:v>
      </x:c>
      <x:c r="B47" s="4" t="str">
        <x:v>Portable computers in many tiny form factors</x:v>
      </x:c>
      <x:c r="C47" s="4" t="str">
        <x:v>UNREVIEWED</x:v>
      </x:c>
      <x:c r="D47" s="4" t="str">
        <x:v>CORRECT</x:v>
      </x:c>
      <x:c r="E47" s="4" t="str">
        <x:v>FULFILLED</x:v>
      </x:c>
      <x:c r="F47" s="4" t="str">
        <x:v>FULFILLED</x:v>
      </x:c>
      <x:c r="G47" s="4" t="str">
        <x:v>Complete deadline/current outcome assessment under explicit scope; separate uncertainty from verdict.</x:v>
      </x:c>
    </x:row>
    <x:row r="48" ht="78" customHeight="1">
      <x:c r="A48" s="4" t="str">
        <x:v>K047</x:v>
      </x:c>
      <x:c r="B48" s="4" t="str">
        <x:v>Automated systems eliminate most human driving</x:v>
      </x:c>
      <x:c r="C48" s="4" t="str">
        <x:v>WRONG_MISSED</x:v>
      </x:c>
      <x:c r="D48" s="4" t="str">
        <x:v>WRONG</x:v>
      </x:c>
      <x:c r="E48" s="4" t="str">
        <x:v>NOT_FULFILLED</x:v>
      </x:c>
      <x:c r="F48" s="4" t="str">
        <x:v>NOT_FULFILLED</x:v>
      </x:c>
      <x:c r="G48" s="4" t="str">
        <x:v>Complete deadline/current outcome assessment under explicit scope; separate uncertainty from verdict.</x:v>
      </x:c>
    </x:row>
    <x:row r="49" ht="78" customHeight="1">
      <x:c r="A49" s="4" t="str">
        <x:v>K048</x:v>
      </x:c>
      <x:c r="B49" s="4" t="str">
        <x:v>Common many-language speech-to-speech translation</x:v>
      </x:c>
      <x:c r="C49" s="4" t="str">
        <x:v>PARTIAL</x:v>
      </x:c>
      <x:c r="D49" s="4" t="str">
        <x:v>LATE</x:v>
      </x:c>
      <x:c r="E49" s="4" t="str">
        <x:v>PARTLY_FULFILLED</x:v>
      </x:c>
      <x:c r="F49" s="4" t="str">
        <x:v>FULFILLED</x:v>
      </x:c>
      <x:c r="G49" s="4" t="str">
        <x:v>Complete deadline/current outcome assessment under explicit scope; separate uncertainty from verdict.</x:v>
      </x:c>
    </x:row>
    <x:row r="50" ht="78" customHeight="1">
      <x:c r="A50" s="4" t="str">
        <x:v>K049</x:v>
      </x:c>
      <x:c r="B50" s="4" t="str">
        <x:v>Ubiquitous bidirectional cochlear network interfaces</x:v>
      </x:c>
      <x:c r="C50" s="4" t="str">
        <x:v>PENDING</x:v>
      </x:c>
      <x:c r="D50" s="4" t="str">
        <x:v>PENDING</x:v>
      </x:c>
      <x:c r="E50" s="4" t="str">
        <x:v>NOT_DUE</x:v>
      </x:c>
      <x:c r="F50" s="4" t="str">
        <x:v>PARTLY_FULFILLED</x:v>
      </x:c>
      <x:c r="G50" s="4" t="str">
        <x:v>Complete deadline/current outcome assessment under explicit scope; separate uncertainty from verdict.</x:v>
      </x:c>
    </x:row>
    <x:row r="51" ht="78" customHeight="1">
      <x:c r="A51" s="4" t="str">
        <x:v>K050</x:v>
      </x:c>
      <x:c r="B51" s="4" t="str">
        <x:v>Invisible computing embedded throughout the environment</x:v>
      </x:c>
      <x:c r="C51" s="4" t="str">
        <x:v>UNREVIEWED</x:v>
      </x:c>
      <x:c r="D51" s="4" t="str">
        <x:v>CORRECT</x:v>
      </x:c>
      <x:c r="E51" s="4" t="str">
        <x:v>FULFILLED</x:v>
      </x:c>
      <x:c r="F51" s="4" t="str">
        <x:v>FULFILLED</x:v>
      </x:c>
      <x:c r="G51" s="4" t="str">
        <x:v>Complete deadline/current outcome assessment under explicit scope; separate uncertainty from verdict.</x:v>
      </x:c>
    </x:row>
    <x:row r="52" ht="78" customHeight="1">
      <x:c r="A52" s="4" t="str">
        <x:v>K051</x:v>
      </x:c>
      <x:c r="B52" s="4" t="str">
        <x:v>3D integrated circuits become common</x:v>
      </x:c>
      <x:c r="C52" s="4" t="str">
        <x:v>NEW</x:v>
      </x:c>
      <x:c r="D52" s="4" t="str">
        <x:v>LATE</x:v>
      </x:c>
      <x:c r="E52" s="4" t="str">
        <x:v>PARTLY_FULFILLED</x:v>
      </x:c>
      <x:c r="F52" s="4" t="str">
        <x:v>FULFILLED</x:v>
      </x:c>
      <x:c r="G52" s="4" t="str">
        <x:v>New independently assessed source extraction.</x:v>
      </x:c>
    </x:row>
    <x:row r="53" ht="78" customHeight="1">
      <x:c r="A53" s="4" t="str">
        <x:v>K052</x:v>
      </x:c>
      <x:c r="B53" s="4" t="str">
        <x:v>$1,000 PCs reach one teraflop</x:v>
      </x:c>
      <x:c r="C53" s="4" t="str">
        <x:v>NEW</x:v>
      </x:c>
      <x:c r="D53" s="4" t="str">
        <x:v>CORRECT</x:v>
      </x:c>
      <x:c r="E53" s="4" t="str">
        <x:v>FULFILLED</x:v>
      </x:c>
      <x:c r="F53" s="4" t="str">
        <x:v>FULFILLED</x:v>
      </x:c>
      <x:c r="G53" s="4" t="str">
        <x:v>New independently assessed source extraction.</x:v>
      </x:c>
    </x:row>
    <x:row r="54" ht="78" customHeight="1">
      <x:c r="A54" s="4" t="str">
        <x:v>K053</x:v>
      </x:c>
      <x:c r="B54" s="4" t="str">
        <x:v>Idle Internet PCs form virtual supercomputers</x:v>
      </x:c>
      <x:c r="C54" s="4" t="str">
        <x:v>NEW</x:v>
      </x:c>
      <x:c r="D54" s="4" t="str">
        <x:v>LATE</x:v>
      </x:c>
      <x:c r="E54" s="4" t="str">
        <x:v>PARTLY_FULFILLED</x:v>
      </x:c>
      <x:c r="F54" s="4" t="str">
        <x:v>FULFILLED</x:v>
      </x:c>
      <x:c r="G54" s="4" t="str">
        <x:v>New independently assessed source extraction.</x:v>
      </x:c>
    </x:row>
    <x:row r="55" ht="78" customHeight="1">
      <x:c r="A55" s="4" t="str">
        <x:v>K054</x:v>
      </x:c>
      <x:c r="B55" s="4" t="str">
        <x:v>Interest in neural methods grows</x:v>
      </x:c>
      <x:c r="C55" s="4" t="str">
        <x:v>NEW</x:v>
      </x:c>
      <x:c r="D55" s="4" t="str">
        <x:v>CORRECT</x:v>
      </x:c>
      <x:c r="E55" s="4" t="str">
        <x:v>FULFILLED</x:v>
      </x:c>
      <x:c r="F55" s="4" t="str">
        <x:v>FULFILLED</x:v>
      </x:c>
      <x:c r="G55" s="4" t="str">
        <x:v>New independently assessed source extraction.</x:v>
      </x:c>
    </x:row>
    <x:row r="56" ht="78" customHeight="1">
      <x:c r="A56" s="4" t="str">
        <x:v>K055</x:v>
      </x:c>
      <x:c r="B56" s="4" t="str">
        <x:v>Computer cameras recognize their owners</x:v>
      </x:c>
      <x:c r="C56" s="4" t="str">
        <x:v>NEW</x:v>
      </x:c>
      <x:c r="D56" s="4" t="str">
        <x:v>LATE</x:v>
      </x:c>
      <x:c r="E56" s="4" t="str">
        <x:v>PARTLY_FULFILLED</x:v>
      </x:c>
      <x:c r="F56" s="4" t="str">
        <x:v>FULFILLED</x:v>
      </x:c>
      <x:c r="G56" s="4" t="str">
        <x:v>New independently assessed source extraction.</x:v>
      </x:c>
    </x:row>
    <x:row r="57" ht="78" customHeight="1">
      <x:c r="A57" s="4" t="str">
        <x:v>K056</x:v>
      </x:c>
      <x:c r="B57" s="4" t="str">
        <x:v>Students carry personal sub-pound tablets</x:v>
      </x:c>
      <x:c r="C57" s="4" t="str">
        <x:v>NEW</x:v>
      </x:c>
      <x:c r="D57" s="4" t="str">
        <x:v>PARTIAL</x:v>
      </x:c>
      <x:c r="E57" s="4" t="str">
        <x:v>NOT_FULFILLED</x:v>
      </x:c>
      <x:c r="F57" s="4" t="str">
        <x:v>PARTLY_FULFILLED</x:v>
      </x:c>
      <x:c r="G57" s="4" t="str">
        <x:v>New independently assessed source extraction.</x:v>
      </x:c>
    </x:row>
    <x:row r="58" ht="78" customHeight="1">
      <x:c r="A58" s="4" t="str">
        <x:v>K057</x:v>
      </x:c>
      <x:c r="B58" s="4" t="str">
        <x:v>Learning materials arrive wirelessly</x:v>
      </x:c>
      <x:c r="C58" s="4" t="str">
        <x:v>NEW</x:v>
      </x:c>
      <x:c r="D58" s="4" t="str">
        <x:v>CORRECT</x:v>
      </x:c>
      <x:c r="E58" s="4" t="str">
        <x:v>FULFILLED</x:v>
      </x:c>
      <x:c r="F58" s="4" t="str">
        <x:v>FULFILLED</x:v>
      </x:c>
      <x:c r="G58" s="4" t="str">
        <x:v>New independently assessed source extraction.</x:v>
      </x:c>
    </x:row>
    <x:row r="59" ht="78" customHeight="1">
      <x:c r="A59" s="4" t="str">
        <x:v>K058</x:v>
      </x:c>
      <x:c r="B59" s="4" t="str">
        <x:v>Teachers shift mainly to mentoring</x:v>
      </x:c>
      <x:c r="C59" s="4" t="str">
        <x:v>NEW</x:v>
      </x:c>
      <x:c r="D59" s="4" t="str">
        <x:v>PARTIAL</x:v>
      </x:c>
      <x:c r="E59" s="4" t="str">
        <x:v>PARTLY_FULFILLED</x:v>
      </x:c>
      <x:c r="F59" s="4" t="str">
        <x:v>PARTLY_FULFILLED</x:v>
      </x:c>
      <x:c r="G59" s="4" t="str">
        <x:v>New independently assessed source extraction.</x:v>
      </x:c>
    </x:row>
    <x:row r="60" ht="78" customHeight="1">
      <x:c r="A60" s="4" t="str">
        <x:v>K059</x:v>
      </x:c>
      <x:c r="B60" s="4" t="str">
        <x:v>At least half of transactions occur online</x:v>
      </x:c>
      <x:c r="C60" s="4" t="str">
        <x:v>NEW</x:v>
      </x:c>
      <x:c r="D60" s="4" t="str">
        <x:v>WRONG</x:v>
      </x:c>
      <x:c r="E60" s="4" t="str">
        <x:v>NOT_FULFILLED</x:v>
      </x:c>
      <x:c r="F60" s="4" t="str">
        <x:v>NOT_FULFILLED</x:v>
      </x:c>
      <x:c r="G60" s="4" t="str">
        <x:v>New independently assessed source extraction.</x:v>
      </x:c>
    </x:row>
    <x:row r="61" ht="78" customHeight="1">
      <x:c r="A61" s="4" t="str">
        <x:v>K060</x:v>
      </x:c>
      <x:c r="B61" s="4" t="str">
        <x:v>Work groups become geographically distributed</x:v>
      </x:c>
      <x:c r="C61" s="4" t="str">
        <x:v>NEW</x:v>
      </x:c>
      <x:c r="D61" s="4" t="str">
        <x:v>CORRECT</x:v>
      </x:c>
      <x:c r="E61" s="4" t="str">
        <x:v>FULFILLED</x:v>
      </x:c>
      <x:c r="F61" s="4" t="str">
        <x:v>FULFILLED</x:v>
      </x:c>
      <x:c r="G61" s="4" t="str">
        <x:v>New independently assessed source extraction.</x:v>
      </x:c>
    </x:row>
    <x:row r="62" ht="78" customHeight="1">
      <x:c r="A62" s="4" t="str">
        <x:v>K061</x:v>
      </x:c>
      <x:c r="B62" s="4" t="str">
        <x:v>Household robots emerge before full acceptance</x:v>
      </x:c>
      <x:c r="C62" s="4" t="str">
        <x:v>NEW</x:v>
      </x:c>
      <x:c r="D62" s="4" t="str">
        <x:v>CORRECT</x:v>
      </x:c>
      <x:c r="E62" s="4" t="str">
        <x:v>FULFILLED</x:v>
      </x:c>
      <x:c r="F62" s="4" t="str">
        <x:v>FULFILLED</x:v>
      </x:c>
      <x:c r="G62" s="4" t="str">
        <x:v>New independently assessed source extraction.</x:v>
      </x:c>
    </x:row>
    <x:row r="63" ht="78" customHeight="1">
      <x:c r="A63" s="4" t="str">
        <x:v>K062</x:v>
      </x:c>
      <x:c r="B63" s="4" t="str">
        <x:v>Telemedicine includes remote tactile examinations</x:v>
      </x:c>
      <x:c r="C63" s="4" t="str">
        <x:v>NEW</x:v>
      </x:c>
      <x:c r="D63" s="4" t="str">
        <x:v>PARTIAL</x:v>
      </x:c>
      <x:c r="E63" s="4" t="str">
        <x:v>PARTLY_FULFILLED</x:v>
      </x:c>
      <x:c r="F63" s="4" t="str">
        <x:v>PARTLY_FULFILLED</x:v>
      </x:c>
      <x:c r="G63" s="4" t="str">
        <x:v>New independently assessed source extraction.</x:v>
      </x:c>
    </x:row>
    <x:row r="64" ht="78" customHeight="1">
      <x:c r="A64" s="4" t="str">
        <x:v>K063</x:v>
      </x:c>
      <x:c r="B64" s="4" t="str">
        <x:v>Pattern recognition becomes routine in medical imaging</x:v>
      </x:c>
      <x:c r="C64" s="4" t="str">
        <x:v>NEW</x:v>
      </x:c>
      <x:c r="D64" s="4" t="str">
        <x:v>CORRECT</x:v>
      </x:c>
      <x:c r="E64" s="4" t="str">
        <x:v>FULFILLED</x:v>
      </x:c>
      <x:c r="F64" s="4" t="str">
        <x:v>FULFILLED</x:v>
      </x:c>
      <x:c r="G64" s="4" t="str">
        <x:v>New independently assessed source extraction.</x:v>
      </x:c>
    </x:row>
    <x:row r="65" ht="78" customHeight="1">
      <x:c r="A65" s="4" t="str">
        <x:v>K064</x:v>
      </x:c>
      <x:c r="B65" s="4" t="str">
        <x:v>Patient histories become lifelong digital records</x:v>
      </x:c>
      <x:c r="C65" s="4" t="str">
        <x:v>NEW</x:v>
      </x:c>
      <x:c r="D65" s="4" t="str">
        <x:v>LATE</x:v>
      </x:c>
      <x:c r="E65" s="4" t="str">
        <x:v>PARTLY_FULFILLED</x:v>
      </x:c>
      <x:c r="F65" s="4" t="str">
        <x:v>FULFILLED</x:v>
      </x:c>
      <x:c r="G65" s="4" t="str">
        <x:v>New independently assessed source extraction.</x:v>
      </x:c>
    </x:row>
    <x:row r="66" ht="78" customHeight="1">
      <x:c r="A66" s="4" t="str">
        <x:v>K065</x:v>
      </x:c>
      <x:c r="B66" s="4" t="str">
        <x:v>Screens become the preferred visual-art medium</x:v>
      </x:c>
      <x:c r="C66" s="4" t="str">
        <x:v>NEW</x:v>
      </x:c>
      <x:c r="D66" s="4" t="str">
        <x:v>PARTIAL</x:v>
      </x:c>
      <x:c r="E66" s="4" t="str">
        <x:v>PARTLY_FULFILLED</x:v>
      </x:c>
      <x:c r="F66" s="4" t="str">
        <x:v>PARTLY_FULFILLED</x:v>
      </x:c>
      <x:c r="G66" s="4" t="str">
        <x:v>New independently assessed source extraction.</x:v>
      </x:c>
    </x:row>
    <x:row r="67" ht="78" customHeight="1">
      <x:c r="A67" s="4" t="str">
        <x:v>K066</x:v>
      </x:c>
      <x:c r="B67" s="4" t="str">
        <x:v>Nonmusicians compose music with software</x:v>
      </x:c>
      <x:c r="C67" s="4" t="str">
        <x:v>NEW</x:v>
      </x:c>
      <x:c r="D67" s="4" t="str">
        <x:v>CORRECT</x:v>
      </x:c>
      <x:c r="E67" s="4" t="str">
        <x:v>FULFILLED</x:v>
      </x:c>
      <x:c r="F67" s="4" t="str">
        <x:v>FULFILLED</x:v>
      </x:c>
      <x:c r="G67" s="4" t="str">
        <x:v>New independently assessed source extraction.</x:v>
      </x:c>
    </x:row>
    <x:row r="68" ht="78" customHeight="1">
      <x:c r="A68" s="4" t="str">
        <x:v>K067</x:v>
      </x:c>
      <x:c r="B68" s="4" t="str">
        <x:v>Remote touch technology begins to emerge</x:v>
      </x:c>
      <x:c r="C68" s="4" t="str">
        <x:v>NEW</x:v>
      </x:c>
      <x:c r="D68" s="4" t="str">
        <x:v>CORRECT</x:v>
      </x:c>
      <x:c r="E68" s="4" t="str">
        <x:v>FULFILLED</x:v>
      </x:c>
      <x:c r="F68" s="4" t="str">
        <x:v>FULFILLED</x:v>
      </x:c>
      <x:c r="G68" s="4" t="str">
        <x:v>New independently assessed source extraction.</x:v>
      </x:c>
    </x:row>
    <x:row r="69" ht="78" customHeight="1">
      <x:c r="A69" s="4" t="str">
        <x:v>K068</x:v>
      </x:c>
      <x:c r="B69" s="4" t="str">
        <x:v>Photorealistic virtual rooms replace text chat</x:v>
      </x:c>
      <x:c r="C69" s="4" t="str">
        <x:v>NEW</x:v>
      </x:c>
      <x:c r="D69" s="4" t="str">
        <x:v>WRONG</x:v>
      </x:c>
      <x:c r="E69" s="4" t="str">
        <x:v>NOT_FULFILLED</x:v>
      </x:c>
      <x:c r="F69" s="4" t="str">
        <x:v>NOT_FULFILLED</x:v>
      </x:c>
      <x:c r="G69" s="4" t="str">
        <x:v>New independently assessed source extraction.</x:v>
      </x:c>
    </x:row>
    <x:row r="70" ht="78" customHeight="1">
      <x:c r="A70" s="4" t="str">
        <x:v>K069</x:v>
      </x:c>
      <x:c r="B70" s="4" t="str">
        <x:v>Wireless phones routinely carry live video</x:v>
      </x:c>
      <x:c r="C70" s="4" t="str">
        <x:v>NEW</x:v>
      </x:c>
      <x:c r="D70" s="4" t="str">
        <x:v>LATE</x:v>
      </x:c>
      <x:c r="E70" s="4" t="str">
        <x:v>PARTLY_FULFILLED</x:v>
      </x:c>
      <x:c r="F70" s="4" t="str">
        <x:v>FULFILLED</x:v>
      </x:c>
      <x:c r="G70" s="4" t="str">
        <x:v>New independently assessed source extraction.</x:v>
      </x:c>
    </x:row>
    <x:row r="71" ht="78" customHeight="1">
      <x:c r="A71" s="4" t="str">
        <x:v>K070</x:v>
      </x:c>
      <x:c r="B71" s="4" t="str">
        <x:v>Electronic storage fully replaces rotating media</x:v>
      </x:c>
      <x:c r="C71" s="4" t="str">
        <x:v>NEW</x:v>
      </x:c>
      <x:c r="D71" s="4" t="str">
        <x:v>WRONG</x:v>
      </x:c>
      <x:c r="E71" s="4" t="str">
        <x:v>NOT_FULFILLED</x:v>
      </x:c>
      <x:c r="F71" s="4" t="str">
        <x:v>NOT_FULFILLED</x:v>
      </x:c>
      <x:c r="G71" s="4" t="str">
        <x:v>New independently assessed source extraction.</x:v>
      </x:c>
    </x:row>
    <x:row r="72" ht="78" customHeight="1">
      <x:c r="A72" s="4" t="str">
        <x:v>K071</x:v>
      </x:c>
      <x:c r="B72" s="4" t="str">
        <x:v>Carbon-nanotube circuitry becomes prevalent</x:v>
      </x:c>
      <x:c r="C72" s="4" t="str">
        <x:v>NEW</x:v>
      </x:c>
      <x:c r="D72" s="4" t="str">
        <x:v>WRONG</x:v>
      </x:c>
      <x:c r="E72" s="4" t="str">
        <x:v>NOT_FULFILLED</x:v>
      </x:c>
      <x:c r="F72" s="4" t="str">
        <x:v>NOT_FULFILLED</x:v>
      </x:c>
      <x:c r="G72" s="4" t="str">
        <x:v>New independently assessed source extraction.</x:v>
      </x:c>
    </x:row>
    <x:row r="73" ht="78" customHeight="1">
      <x:c r="A73" s="4" t="str">
        <x:v>K072</x:v>
      </x:c>
      <x:c r="B73" s="4" t="str">
        <x:v>Neural and genetic methods consume most computation</x:v>
      </x:c>
      <x:c r="C73" s="4" t="str">
        <x:v>NEW</x:v>
      </x:c>
      <x:c r="D73" s="4" t="str">
        <x:v>PARTIAL</x:v>
      </x:c>
      <x:c r="E73" s="4" t="str">
        <x:v>NOT_FULFILLED</x:v>
      </x:c>
      <x:c r="F73" s="4" t="str">
        <x:v>PARTLY_FULFILLED</x:v>
      </x:c>
      <x:c r="G73" s="4" t="str">
        <x:v>New independently assessed source extraction.</x:v>
      </x:c>
    </x:row>
    <x:row r="74" ht="78" customHeight="1">
      <x:c r="A74" s="4" t="str">
        <x:v>K073</x:v>
      </x:c>
      <x:c r="B74" s="4" t="str">
        <x:v>Brain scanning clarifies specialized neural regions</x:v>
      </x:c>
      <x:c r="C74" s="4" t="str">
        <x:v>NEW</x:v>
      </x:c>
      <x:c r="D74" s="4" t="str">
        <x:v>CORRECT</x:v>
      </x:c>
      <x:c r="E74" s="4" t="str">
        <x:v>FULFILLED</x:v>
      </x:c>
      <x:c r="F74" s="4" t="str">
        <x:v>FULFILLED</x:v>
      </x:c>
      <x:c r="G74" s="4" t="str">
        <x:v>New independently assessed source extraction.</x:v>
      </x:c>
    </x:row>
    <x:row r="75" ht="78" customHeight="1">
      <x:c r="A75" s="4" t="str">
        <x:v>K074</x:v>
      </x:c>
      <x:c r="B75" s="4" t="str">
        <x:v>Tiny diffraction cameras replace most lenses</x:v>
      </x:c>
      <x:c r="C75" s="4" t="str">
        <x:v>NEW</x:v>
      </x:c>
      <x:c r="D75" s="4" t="str">
        <x:v>WRONG</x:v>
      </x:c>
      <x:c r="E75" s="4" t="str">
        <x:v>NOT_FULFILLED</x:v>
      </x:c>
      <x:c r="F75" s="4" t="str">
        <x:v>NOT_FULFILLED</x:v>
      </x:c>
      <x:c r="G75" s="4" t="str">
        <x:v>New independently assessed source extraction.</x:v>
      </x:c>
    </x:row>
    <x:row r="76" ht="78" customHeight="1">
      <x:c r="A76" s="4" t="str">
        <x:v>K075</x:v>
      </x:c>
      <x:c r="B76" s="4" t="str">
        <x:v>Calls provide convincing three-dimensional presence</x:v>
      </x:c>
      <x:c r="C76" s="4" t="str">
        <x:v>NEW</x:v>
      </x:c>
      <x:c r="D76" s="4" t="str">
        <x:v>PARTIAL</x:v>
      </x:c>
      <x:c r="E76" s="4" t="str">
        <x:v>NOT_FULFILLED</x:v>
      </x:c>
      <x:c r="F76" s="4" t="str">
        <x:v>PARTLY_FULFILLED</x:v>
      </x:c>
      <x:c r="G76" s="4" t="str">
        <x:v>New independently assessed source extraction.</x:v>
      </x:c>
    </x:row>
    <x:row r="77" ht="78" customHeight="1">
      <x:c r="A77" s="4" t="str">
        <x:v>K076</x:v>
      </x:c>
      <x:c r="B77" s="4" t="str">
        <x:v>Most meetings need no physical co-location</x:v>
      </x:c>
      <x:c r="C77" s="4" t="str">
        <x:v>NEW</x:v>
      </x:c>
      <x:c r="D77" s="4" t="str">
        <x:v>CORRECT</x:v>
      </x:c>
      <x:c r="E77" s="4" t="str">
        <x:v>FULFILLED</x:v>
      </x:c>
      <x:c r="F77" s="4" t="str">
        <x:v>FULFILLED</x:v>
      </x:c>
      <x:c r="G77" s="4" t="str">
        <x:v>New independently assessed source extraction.</x:v>
      </x:c>
    </x:row>
    <x:row r="78" ht="78" customHeight="1">
      <x:c r="A78" s="4" t="str">
        <x:v>K077</x:v>
      </x:c>
      <x:c r="B78" s="4" t="str">
        <x:v>Practical speech translation covers common language pairs</x:v>
      </x:c>
      <x:c r="C78" s="4" t="str">
        <x:v>NEW</x:v>
      </x:c>
      <x:c r="D78" s="4" t="str">
        <x:v>CORRECT</x:v>
      </x:c>
      <x:c r="E78" s="4" t="str">
        <x:v>FULFILLED</x:v>
      </x:c>
      <x:c r="F78" s="4" t="str">
        <x:v>FULFILLED</x:v>
      </x:c>
      <x:c r="G78" s="4" t="str">
        <x:v>New independently assessed source extraction.</x:v>
      </x:c>
    </x:row>
    <x:row r="79" ht="78" customHeight="1">
      <x:c r="A79" s="4" t="str">
        <x:v>K078</x:v>
      </x:c>
      <x:c r="B79" s="4" t="str">
        <x:v>AI tutors deliver most learning</x:v>
      </x:c>
      <x:c r="C79" s="4" t="str">
        <x:v>NEW</x:v>
      </x:c>
      <x:c r="D79" s="4" t="str">
        <x:v>WRONG</x:v>
      </x:c>
      <x:c r="E79" s="4" t="str">
        <x:v>NOT_FULFILLED</x:v>
      </x:c>
      <x:c r="F79" s="4" t="str">
        <x:v>NOT_FULFILLED</x:v>
      </x:c>
      <x:c r="G79" s="4" t="str">
        <x:v>New independently assessed source extraction.</x:v>
      </x:c>
    </x:row>
    <x:row r="80" ht="78" customHeight="1">
      <x:c r="A80" s="4" t="str">
        <x:v>K079</x:v>
      </x:c>
      <x:c r="B80" s="4" t="str">
        <x:v>Workers spend most time learning</x:v>
      </x:c>
      <x:c r="C80" s="4" t="str">
        <x:v>NEW</x:v>
      </x:c>
      <x:c r="D80" s="4" t="str">
        <x:v>WRONG</x:v>
      </x:c>
      <x:c r="E80" s="4" t="str">
        <x:v>NOT_FULFILLED</x:v>
      </x:c>
      <x:c r="F80" s="4" t="str">
        <x:v>NOT_FULFILLED</x:v>
      </x:c>
      <x:c r="G80" s="4" t="str">
        <x:v>New independently assessed source extraction.</x:v>
      </x:c>
    </x:row>
    <x:row r="81" ht="78" customHeight="1">
      <x:c r="A81" s="4" t="str">
        <x:v>K080</x:v>
      </x:c>
      <x:c r="B81" s="4" t="str">
        <x:v>Reliable household robots become ubiquitous</x:v>
      </x:c>
      <x:c r="C81" s="4" t="str">
        <x:v>NEW</x:v>
      </x:c>
      <x:c r="D81" s="4" t="str">
        <x:v>PARTIAL</x:v>
      </x:c>
      <x:c r="E81" s="4" t="str">
        <x:v>PARTLY_FULFILLED</x:v>
      </x:c>
      <x:c r="F81" s="4" t="str">
        <x:v>PARTLY_FULFILLED</x:v>
      </x:c>
      <x:c r="G81" s="4" t="str">
        <x:v>New independently assessed source extraction.</x:v>
      </x:c>
    </x:row>
    <x:row r="82" ht="78" customHeight="1">
      <x:c r="A82" s="4" t="str">
        <x:v>K081</x:v>
      </x:c>
      <x:c r="B82" s="4" t="str">
        <x:v>Transportation accidents become very rare</x:v>
      </x:c>
      <x:c r="C82" s="4" t="str">
        <x:v>NEW</x:v>
      </x:c>
      <x:c r="D82" s="4" t="str">
        <x:v>WRONG</x:v>
      </x:c>
      <x:c r="E82" s="4" t="str">
        <x:v>NOT_FULFILLED</x:v>
      </x:c>
      <x:c r="F82" s="4" t="str">
        <x:v>NOT_FULFILLED</x:v>
      </x:c>
      <x:c r="G82" s="4" t="str">
        <x:v>New independently assessed source extraction.</x:v>
      </x:c>
    </x:row>
    <x:row r="83" ht="78" customHeight="1">
      <x:c r="A83" s="4" t="str">
        <x:v>K082</x:v>
      </x:c>
      <x:c r="B83" s="4" t="str">
        <x:v>Human-machine creative collaborations gain recognition</x:v>
      </x:c>
      <x:c r="C83" s="4" t="str">
        <x:v>NEW</x:v>
      </x:c>
      <x:c r="D83" s="4" t="str">
        <x:v>CORRECT</x:v>
      </x:c>
      <x:c r="E83" s="4" t="str">
        <x:v>FULFILLED</x:v>
      </x:c>
      <x:c r="F83" s="4" t="str">
        <x:v>FULFILLED</x:v>
      </x:c>
      <x:c r="G83" s="4" t="str">
        <x:v>New independently assessed source extraction.</x:v>
      </x:c>
    </x:row>
    <x:row r="84" ht="78" customHeight="1">
      <x:c r="A84" s="4" t="str">
        <x:v>K083</x:v>
      </x:c>
      <x:c r="B84" s="4" t="str">
        <x:v>Major aging and cancer mechanisms become understood</x:v>
      </x:c>
      <x:c r="C84" s="4" t="str">
        <x:v>NEW</x:v>
      </x:c>
      <x:c r="D84" s="4" t="str">
        <x:v>CORRECT</x:v>
      </x:c>
      <x:c r="E84" s="4" t="str">
        <x:v>FULFILLED</x:v>
      </x:c>
      <x:c r="F84" s="4" t="str">
        <x:v>FULFILLED</x:v>
      </x:c>
      <x:c r="G84" s="4" t="str">
        <x:v>New independently assessed source extraction.</x:v>
      </x:c>
    </x:row>
    <x:row r="85" ht="78" customHeight="1">
      <x:c r="A85" s="4" t="str">
        <x:v>K084</x:v>
      </x:c>
      <x:c r="B85" s="4" t="str">
        <x:v>Simulated people mediate nearly all transactions</x:v>
      </x:c>
      <x:c r="C85" s="4" t="str">
        <x:v>NEW</x:v>
      </x:c>
      <x:c r="D85" s="4" t="str">
        <x:v>PARTIAL</x:v>
      </x:c>
      <x:c r="E85" s="4" t="str">
        <x:v>NOT_FULFILLED</x:v>
      </x:c>
      <x:c r="F85" s="4" t="str">
        <x:v>PARTLY_FULFILLED</x:v>
      </x:c>
      <x:c r="G85" s="4" t="str">
        <x:v>New independently assessed source extraction.</x:v>
      </x:c>
    </x:row>
  </x:sheetData>
  <x:conditionalFormatting sqref="D2:D85">
    <x:cfRule type="expression" dxfId="10" priority="1">
      <x:formula>D2="CORRECT"</x:formula>
    </x:cfRule>
    <x:cfRule type="expression" dxfId="11" priority="2">
      <x:formula>D2="LATE"</x:formula>
    </x:cfRule>
    <x:cfRule type="expression" dxfId="12" priority="3">
      <x:formula>D2="PARTIAL"</x:formula>
    </x:cfRule>
    <x:cfRule type="expression" dxfId="13" priority="4">
      <x:formula>D2="WRONG"</x:formula>
    </x:cfRule>
    <x:cfRule type="expression" dxfId="14" priority="5">
      <x:formula>D2="PENDING"</x:formula>
    </x:cfRule>
  </x:conditionalFormatting>
  <x:pageMargins left="0.7" right="0.7" top="0.75" bottom="0.75" header="0.3" footer="0.3"/>
  <x:tableParts count="1">
    <x:tablePart xmlns:r="http://schemas.openxmlformats.org/officeDocument/2006/relationships" r:id="Rf5ca2778a7c0411b"/>
  </x:tableParts>
</x:worksheet>
</file>